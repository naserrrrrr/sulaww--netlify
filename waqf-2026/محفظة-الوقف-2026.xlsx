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  <sheet name="المحفظة المقترحة" sheetId="2" state="visible" r:id="rId4"/>
    <sheet name="تقييم الأسهم" sheetId="3" state="visible" r:id="rId5"/>
    <sheet name="الخطة التشغيلية" sheetId="4" state="visible" r:id="rId6"/>
    <sheet name="المخاطر" sheetId="5" state="visible" r:id="rId7"/>
    <sheet name="سياسة الوقف" sheetId="6" state="visible" r:id="rId8"/>
    <sheet name="سياق السوق" sheetId="7" state="visible" r:id="rId9"/>
    <sheet name="المصادر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<sst xmlns="http://schemas.openxmlformats.org/spreadsheetml/2006/main" count="639" uniqueCount="447">
  <si>
    <t xml:space="preserve">المحفظة المعتمدة — 1,500,000 ريال</t>
  </si>
  <si>
    <t xml:space="preserve">الأسعار: آخر إغلاق على أرقام في 11–12 أكتوبر 2026 · الخلايا الزرقاء مدخلات قابلة للتعديل وتعيد حساب كل شيء تلقائياً</t>
  </si>
  <si>
    <t xml:space="preserve">رأس مال الوقف (ريال)</t>
  </si>
  <si>
    <t xml:space="preserve">من طلب المتبرع</t>
  </si>
  <si>
    <t xml:space="preserve">نسبة صرف الغلّة للجمعية</t>
  </si>
  <si>
    <t xml:space="preserve">توصية: 80% تُصرف و20% يُعاد استثمارها لحماية الأصل من التضخم (صندوق الإنماء وريف يصرف 50% على الأقل)</t>
  </si>
  <si>
    <t xml:space="preserve">عمولة التداول التقديرية (شاملة الضريبة)</t>
  </si>
  <si>
    <t xml:space="preserve">افتراض: نحو 0.155% + ضريبة القيمة المضافة؛ تأكد من الوسيط</t>
  </si>
  <si>
    <t xml:space="preserve">#</t>
  </si>
  <si>
    <t xml:space="preserve">السهم / الصندوق</t>
  </si>
  <si>
    <t xml:space="preserve">الرمز</t>
  </si>
  <si>
    <t xml:space="preserve">القطاع</t>
  </si>
  <si>
    <t xml:space="preserve">الوزن</t>
  </si>
  <si>
    <t xml:space="preserve">المبلغ المخصص</t>
  </si>
  <si>
    <t xml:space="preserve">السعر</t>
  </si>
  <si>
    <t xml:space="preserve">عدد الأسهم</t>
  </si>
  <si>
    <t xml:space="preserve">التكلفة الفعلية</t>
  </si>
  <si>
    <t xml:space="preserve">توزيع السهم السنوي — أساسي</t>
  </si>
  <si>
    <t xml:space="preserve">توزيع السهم السنوي — متحفظ</t>
  </si>
  <si>
    <t xml:space="preserve">الدخل السنوي — أساسي</t>
  </si>
  <si>
    <t xml:space="preserve">الدخل السنوي — متحفظ</t>
  </si>
  <si>
    <t xml:space="preserve">العائد على التكلفة — أساسي</t>
  </si>
  <si>
    <t xml:space="preserve">أساس تقدير التوزيع</t>
  </si>
  <si>
    <t xml:space="preserve">مصرف الراجحي</t>
  </si>
  <si>
    <t xml:space="preserve">1120</t>
  </si>
  <si>
    <t xml:space="preserve">البنوك</t>
  </si>
  <si>
    <t xml:space="preserve">1.17 (نصف ثاني 2025 بعد تعديل المنحة) + 1.26 (نصف أول 2026)</t>
  </si>
  <si>
    <t xml:space="preserve">مصرف الإنماء</t>
  </si>
  <si>
    <t xml:space="preserve">1150</t>
  </si>
  <si>
    <t xml:space="preserve">0.25/ربع في 2026؛ المتحفظ يفترض منحة بدل نقد في ربع واحد</t>
  </si>
  <si>
    <t xml:space="preserve">إس تي سي</t>
  </si>
  <si>
    <t xml:space="preserve">7010</t>
  </si>
  <si>
    <t xml:space="preserve">الاتصالات</t>
  </si>
  <si>
    <t xml:space="preserve">سياسة معلنة 0.55 ريال/ربع حتى الربع الثالث 2027</t>
  </si>
  <si>
    <t xml:space="preserve">أرامكو السعودية</t>
  </si>
  <si>
    <t xml:space="preserve">2222</t>
  </si>
  <si>
    <t xml:space="preserve">الطاقة</t>
  </si>
  <si>
    <t xml:space="preserve">توزيع أساسي 0.34/ربع بلا توزيع مرتبط بالأداء</t>
  </si>
  <si>
    <t xml:space="preserve">النهدي الطبية</t>
  </si>
  <si>
    <t xml:space="preserve">4164</t>
  </si>
  <si>
    <t xml:space="preserve">الرعاية الصحية</t>
  </si>
  <si>
    <t xml:space="preserve">2.60 + 3.00؛ المتحفظ يعكس تراجع الربح 9%</t>
  </si>
  <si>
    <t xml:space="preserve">سابك للمغذيات الزراعية</t>
  </si>
  <si>
    <t xml:space="preserve">2020</t>
  </si>
  <si>
    <t xml:space="preserve">المواد الأساسية</t>
  </si>
  <si>
    <t xml:space="preserve">3.50 + 3.50؛ المتحفظ يعكس هبوط ربح الربع الثاني 64%</t>
  </si>
  <si>
    <t xml:space="preserve">أسمنت السعودية</t>
  </si>
  <si>
    <t xml:space="preserve">3030</t>
  </si>
  <si>
    <t xml:space="preserve">0.80 + 1.00؛ مغطى بالأرباح ~76%</t>
  </si>
  <si>
    <t xml:space="preserve">المتحدة للإلكترونيات (إكسترا)</t>
  </si>
  <si>
    <t xml:space="preserve">4003</t>
  </si>
  <si>
    <t xml:space="preserve">التجزئة</t>
  </si>
  <si>
    <t xml:space="preserve">2.00 + 3.00؛ مشروط بموافقة الهيئة الشرعية</t>
  </si>
  <si>
    <t xml:space="preserve">الإجمالي</t>
  </si>
  <si>
    <t xml:space="preserve">النقد المتبقي بعد الشراء (احتياطي)</t>
  </si>
  <si>
    <t xml:space="preserve">العائد النقدي المتوقع — أساسي</t>
  </si>
  <si>
    <t xml:space="preserve">العائد النقدي المتوقع — متحفظ</t>
  </si>
  <si>
    <t xml:space="preserve">المصروف للجمعية سنوياً — أساسي</t>
  </si>
  <si>
    <t xml:space="preserve">المصروف للجمعية سنوياً — متحفظ</t>
  </si>
  <si>
    <t xml:space="preserve">المعاد استثماره سنوياً — أساسي</t>
  </si>
  <si>
    <t xml:space="preserve">أكبر وزن لسهم واحد (الحد 15%)</t>
  </si>
  <si>
    <t xml:space="preserve">فحص: مجموع الأوزان = 100%</t>
  </si>
  <si>
    <t xml:space="preserve">التوزيع القطاعي</t>
  </si>
  <si>
    <t xml:space="preserve">الدخل الأساسي</t>
  </si>
  <si>
    <t xml:space="preserve">تقييم 28 سهماً وصندوقاً مرشحاً</t>
  </si>
  <si>
    <t xml:space="preserve">العائد التاريخي = توزيعات آخر 12 شهراً ÷ السعر · نسبة التوزيع = التوزيعات ÷ صافي الربح · الشرعية: الراجحي المالية / البلاد المالية (31-03-2026) / د. العصيمي (17-08-2025)</t>
  </si>
  <si>
    <t xml:space="preserve">السهم</t>
  </si>
  <si>
    <t xml:space="preserve">توزيعات آخر 12 شهراً</t>
  </si>
  <si>
    <t xml:space="preserve">العائد التاريخي</t>
  </si>
  <si>
    <t xml:space="preserve">توزيعات 2025</t>
  </si>
  <si>
    <t xml:space="preserve">المعلن عن 2026 حتى الآن</t>
  </si>
  <si>
    <t xml:space="preserve">نمو الربح (النصف الأول 2026)</t>
  </si>
  <si>
    <t xml:space="preserve">نسبة التوزيع من الربح</t>
  </si>
  <si>
    <t xml:space="preserve">الراجحي</t>
  </si>
  <si>
    <t xml:space="preserve">البلاد</t>
  </si>
  <si>
    <t xml:space="preserve">العصيمي</t>
  </si>
  <si>
    <t xml:space="preserve">درجة الجودة (من 5)</t>
  </si>
  <si>
    <t xml:space="preserve">القرار</t>
  </si>
  <si>
    <t xml:space="preserve">السبب الرئيسي</t>
  </si>
  <si>
    <t xml:space="preserve">2.50 (قبل المنحة)</t>
  </si>
  <si>
    <t xml:space="preserve">1.26 نصف أول</t>
  </si>
  <si>
    <t xml:space="preserve">+14%</t>
  </si>
  <si>
    <t xml:space="preserve">~55%</t>
  </si>
  <si>
    <t xml:space="preserve">✔</t>
  </si>
  <si>
    <t xml:space="preserve">غير مصنف</t>
  </si>
  <si>
    <t xml:space="preserve">ضمن المحفظة</t>
  </si>
  <si>
    <t xml:space="preserve">أقوى ربحية في السوق، توزيع نصف سنوي متنامٍ</t>
  </si>
  <si>
    <t xml:space="preserve">2.20</t>
  </si>
  <si>
    <t xml:space="preserve">0.55 + 0.55</t>
  </si>
  <si>
    <t xml:space="preserve">−2% (+6% دون بنود استثنائية)</t>
  </si>
  <si>
    <t xml:space="preserve">~75%</t>
  </si>
  <si>
    <t xml:space="preserve">سياسة توزيع معلنة ثابتة حتى 2027، متوافق في القوائم الثلاث</t>
  </si>
  <si>
    <t xml:space="preserve">0.90 (قبل المنحة)</t>
  </si>
  <si>
    <t xml:space="preserve">0.25 + 0.25</t>
  </si>
  <si>
    <t xml:space="preserve">+6%</t>
  </si>
  <si>
    <t xml:space="preserve">~46%</t>
  </si>
  <si>
    <t xml:space="preserve">توزيع ربعي منتظم، نسبة توزيع منخفضة تمنح هامش أمان</t>
  </si>
  <si>
    <t xml:space="preserve">بنك البلاد</t>
  </si>
  <si>
    <t xml:space="preserve">1140</t>
  </si>
  <si>
    <t xml:space="preserve">1.00</t>
  </si>
  <si>
    <t xml:space="preserve">0.50 نصف أول</t>
  </si>
  <si>
    <t xml:space="preserve">+4%</t>
  </si>
  <si>
    <t xml:space="preserve">~49%</t>
  </si>
  <si>
    <t xml:space="preserve">مستبعد</t>
  </si>
  <si>
    <t xml:space="preserve">نمو بطيء وتراجع السعر 16% خلال 6 أشهر</t>
  </si>
  <si>
    <t xml:space="preserve">بنك الجزيرة</t>
  </si>
  <si>
    <t xml:space="preserve">1020</t>
  </si>
  <si>
    <t xml:space="preserve">0.50</t>
  </si>
  <si>
    <t xml:space="preserve">لا شيء</t>
  </si>
  <si>
    <t xml:space="preserve">0%</t>
  </si>
  <si>
    <t xml:space="preserve">انقطاع التوزيعات 2022–2026 وعدم إعلان توزيع 2026</t>
  </si>
  <si>
    <t xml:space="preserve">عِلم</t>
  </si>
  <si>
    <t xml:space="preserve">7203</t>
  </si>
  <si>
    <t xml:space="preserve">التقنية</t>
  </si>
  <si>
    <t xml:space="preserve">9.00</t>
  </si>
  <si>
    <t xml:space="preserve">5.00 نصف أول</t>
  </si>
  <si>
    <t xml:space="preserve">+7.7%</t>
  </si>
  <si>
    <t xml:space="preserve">~33%</t>
  </si>
  <si>
    <t xml:space="preserve">عائد منخفض 1.7% وتذبذب مرتفع</t>
  </si>
  <si>
    <t xml:space="preserve">1.33</t>
  </si>
  <si>
    <t xml:space="preserve">0.34 + 0.34</t>
  </si>
  <si>
    <t xml:space="preserve">+33%</t>
  </si>
  <si>
    <t xml:space="preserve">~68%</t>
  </si>
  <si>
    <t xml:space="preserve">✔ (مختلط)</t>
  </si>
  <si>
    <t xml:space="preserve">غير مدرج</t>
  </si>
  <si>
    <t xml:space="preserve">توزيع أساسي تصاعدي، لكنه يفوق التدفق النقدي الحر في 2026</t>
  </si>
  <si>
    <t xml:space="preserve">سابك</t>
  </si>
  <si>
    <t xml:space="preserve">2010</t>
  </si>
  <si>
    <t xml:space="preserve">البتروكيماويات</t>
  </si>
  <si>
    <t xml:space="preserve">3.00</t>
  </si>
  <si>
    <t xml:space="preserve">1.10 (خُفّض 27%)</t>
  </si>
  <si>
    <t xml:space="preserve">خسارة</t>
  </si>
  <si>
    <t xml:space="preserve">يوزع من الميزانية</t>
  </si>
  <si>
    <t xml:space="preserve">خسارة 25.8 مليار في 2025 وتخفيض التوزيع</t>
  </si>
  <si>
    <t xml:space="preserve">7.00</t>
  </si>
  <si>
    <t xml:space="preserve">3.50 نصف أول</t>
  </si>
  <si>
    <t xml:space="preserve">−21%</t>
  </si>
  <si>
    <t xml:space="preserve">~77% (2025)</t>
  </si>
  <si>
    <t xml:space="preserve">أعلى عائد بين الكبار وميزانية قوية؛ وزن محدود لتذبذب الأسمدة</t>
  </si>
  <si>
    <t xml:space="preserve">سبكيم</t>
  </si>
  <si>
    <t xml:space="preserve">2310</t>
  </si>
  <si>
    <t xml:space="preserve">—</t>
  </si>
  <si>
    <t xml:space="preserve">أول خسارة سنوية في تاريخه ولا توزيع عن 2026</t>
  </si>
  <si>
    <t xml:space="preserve">المتقدمة للبتروكيماويات</t>
  </si>
  <si>
    <t xml:space="preserve">2330</t>
  </si>
  <si>
    <t xml:space="preserve">لا توزيعات منذ 2023</t>
  </si>
  <si>
    <t xml:space="preserve">ينساب</t>
  </si>
  <si>
    <t xml:space="preserve">2290</t>
  </si>
  <si>
    <t xml:space="preserve">2.00</t>
  </si>
  <si>
    <t xml:space="preserve">1.00 نصف أول</t>
  </si>
  <si>
    <t xml:space="preserve">+364% (قاعدة متدنية)</t>
  </si>
  <si>
    <t xml:space="preserve">~1400% (2025)</t>
  </si>
  <si>
    <t xml:space="preserve">التوزيع أضعاف الربح؛ غير مستدام</t>
  </si>
  <si>
    <t xml:space="preserve">1.80</t>
  </si>
  <si>
    <t xml:space="preserve">−1%</t>
  </si>
  <si>
    <t xml:space="preserve">~76%</t>
  </si>
  <si>
    <t xml:space="preserve">عائد مرتفع مغطى بالأرباح؛ وزن صغير للتنويع</t>
  </si>
  <si>
    <t xml:space="preserve">أسمنت القصيم</t>
  </si>
  <si>
    <t xml:space="preserve">3040</t>
  </si>
  <si>
    <t xml:space="preserve">3.20</t>
  </si>
  <si>
    <t xml:space="preserve">0.80 + 0.80</t>
  </si>
  <si>
    <t xml:space="preserve">−19%</t>
  </si>
  <si>
    <t xml:space="preserve">~146%</t>
  </si>
  <si>
    <t xml:space="preserve">يوزع أكثر من أرباحه مع اقتراض جديد</t>
  </si>
  <si>
    <t xml:space="preserve">أسمنت اليمامة</t>
  </si>
  <si>
    <t xml:space="preserve">3020</t>
  </si>
  <si>
    <t xml:space="preserve">ربح 265 مليون</t>
  </si>
  <si>
    <t xml:space="preserve">~42%</t>
  </si>
  <si>
    <t xml:space="preserve">بديل احتياطي</t>
  </si>
  <si>
    <t xml:space="preserve">تغطية ممتازة وعائد متوسط 4.8%</t>
  </si>
  <si>
    <t xml:space="preserve">إكسترا</t>
  </si>
  <si>
    <t xml:space="preserve">5.00</t>
  </si>
  <si>
    <t xml:space="preserve">2.00 نصف أول</t>
  </si>
  <si>
    <t xml:space="preserve">+2.4%</t>
  </si>
  <si>
    <t xml:space="preserve">~80%</t>
  </si>
  <si>
    <t xml:space="preserve">ضمن المحفظة (مشروط)</t>
  </si>
  <si>
    <t xml:space="preserve">عائد 9% لكن لديه ذراع تمويل استهلاكي؛ يلزم رأي الهيئة الشرعية</t>
  </si>
  <si>
    <t xml:space="preserve">ذيب لتأجير السيارات</t>
  </si>
  <si>
    <t xml:space="preserve">4261</t>
  </si>
  <si>
    <t xml:space="preserve">النقل</t>
  </si>
  <si>
    <t xml:space="preserve">1.39</t>
  </si>
  <si>
    <t xml:space="preserve">−45%</t>
  </si>
  <si>
    <t xml:space="preserve">توقف التوزيع في 2026 ومديونية مرتفعة</t>
  </si>
  <si>
    <t xml:space="preserve">الدواء للخدمات الطبية</t>
  </si>
  <si>
    <t xml:space="preserve">4163</t>
  </si>
  <si>
    <t xml:space="preserve">2.52</t>
  </si>
  <si>
    <t xml:space="preserve">0.63 ربع أول</t>
  </si>
  <si>
    <t xml:space="preserve">−73%</t>
  </si>
  <si>
    <t xml:space="preserve">&gt;200%</t>
  </si>
  <si>
    <t xml:space="preserve">التوزيع ضعف الأرباح؛ التخفيض مرجح</t>
  </si>
  <si>
    <t xml:space="preserve">5.60</t>
  </si>
  <si>
    <t xml:space="preserve">2.60 نصف أول</t>
  </si>
  <si>
    <t xml:space="preserve">−8.7%</t>
  </si>
  <si>
    <t xml:space="preserve">توزيع ثابت مرتفع وديون منخفضة؛ متوافق في القوائم الثلاث</t>
  </si>
  <si>
    <t xml:space="preserve">جرير للتسويق</t>
  </si>
  <si>
    <t xml:space="preserve">4190</t>
  </si>
  <si>
    <t xml:space="preserve">0.89</t>
  </si>
  <si>
    <t xml:space="preserve">0.21 + 0.20</t>
  </si>
  <si>
    <t xml:space="preserve">+18%</t>
  </si>
  <si>
    <t xml:space="preserve">~100%</t>
  </si>
  <si>
    <t xml:space="preserve">يوزع ~100% من أرباحه دون هامش أمان</t>
  </si>
  <si>
    <t xml:space="preserve">بوبا العربية</t>
  </si>
  <si>
    <t xml:space="preserve">8210</t>
  </si>
  <si>
    <t xml:space="preserve">التأمين</t>
  </si>
  <si>
    <t xml:space="preserve">4.00</t>
  </si>
  <si>
    <t xml:space="preserve">~56%</t>
  </si>
  <si>
    <t xml:space="preserve">عائد 2.8% وقطاع التأمين محل خلاف</t>
  </si>
  <si>
    <t xml:space="preserve">المواساة</t>
  </si>
  <si>
    <t xml:space="preserve">4002</t>
  </si>
  <si>
    <t xml:space="preserve">2.13</t>
  </si>
  <si>
    <t xml:space="preserve">+7.4%</t>
  </si>
  <si>
    <t xml:space="preserve">~52%</t>
  </si>
  <si>
    <t xml:space="preserve">قائمة مراقبة</t>
  </si>
  <si>
    <t xml:space="preserve">نمو جيد لكن العائد 3.4%</t>
  </si>
  <si>
    <t xml:space="preserve">المراعي</t>
  </si>
  <si>
    <t xml:space="preserve">2280</t>
  </si>
  <si>
    <t xml:space="preserve">الأغذية</t>
  </si>
  <si>
    <t xml:space="preserve">1.15</t>
  </si>
  <si>
    <t xml:space="preserve">~47%</t>
  </si>
  <si>
    <t xml:space="preserve">عائد 2.6% ومديونية 14 مليار</t>
  </si>
  <si>
    <t xml:space="preserve">سدكو كابيتال ريت</t>
  </si>
  <si>
    <t xml:space="preserve">4344</t>
  </si>
  <si>
    <t xml:space="preserve">صناديق الريت</t>
  </si>
  <si>
    <t xml:space="preserve">0.54</t>
  </si>
  <si>
    <t xml:space="preserve">0.1375 + 0.137</t>
  </si>
  <si>
    <t xml:space="preserve">FFO +43%</t>
  </si>
  <si>
    <t xml:space="preserve">مديونية 53% من الأصول</t>
  </si>
  <si>
    <t xml:space="preserve">مستبعد حالياً</t>
  </si>
  <si>
    <t xml:space="preserve">عائد 8.4% لكن مديونية مرتفعة بفائدة متغيرة واستحواذات جديدة</t>
  </si>
  <si>
    <t xml:space="preserve">جدوى ريت السعودية</t>
  </si>
  <si>
    <t xml:space="preserve">4342</t>
  </si>
  <si>
    <t xml:space="preserve">0.80</t>
  </si>
  <si>
    <t xml:space="preserve">0.20 + 0.20</t>
  </si>
  <si>
    <t xml:space="preserve">ثابت</t>
  </si>
  <si>
    <t xml:space="preserve">يوزع 131% من دخله التشغيلي (FFO)؛ التوزيع غير مغطى</t>
  </si>
  <si>
    <t xml:space="preserve">الراجحي ريت</t>
  </si>
  <si>
    <t xml:space="preserve">4340</t>
  </si>
  <si>
    <t xml:space="preserve">0.52</t>
  </si>
  <si>
    <t xml:space="preserve">0.275</t>
  </si>
  <si>
    <t xml:space="preserve">مستقر</t>
  </si>
  <si>
    <t xml:space="preserve">اقتصرت المحفظة على الأسهم؛ التوزيع ~101% من FFO</t>
  </si>
  <si>
    <t xml:space="preserve">الرياض ريت</t>
  </si>
  <si>
    <t xml:space="preserve">4330</t>
  </si>
  <si>
    <t xml:space="preserve">0.32</t>
  </si>
  <si>
    <t xml:space="preserve">0.16</t>
  </si>
  <si>
    <t xml:space="preserve">عائد حقوق سالب</t>
  </si>
  <si>
    <t xml:space="preserve">خُفضت توزيعاته بشدة منذ 2022</t>
  </si>
  <si>
    <t xml:space="preserve">الإنماء ريت للتجزئة</t>
  </si>
  <si>
    <t xml:space="preserve">4345</t>
  </si>
  <si>
    <t xml:space="preserve">0.35</t>
  </si>
  <si>
    <t xml:space="preserve">0.19</t>
  </si>
  <si>
    <t xml:space="preserve">تراجع السعر 51% منذ الإدراج</t>
  </si>
  <si>
    <t xml:space="preserve">الخطة التشغيلية لتأسيس محفظة الوقف</t>
  </si>
  <si>
    <t xml:space="preserve">القائمة المنسدلة في عمود الحالة · التواريخ تقديرية تُعدّل حسب جاهزية الجمعية</t>
  </si>
  <si>
    <t xml:space="preserve">المهمة</t>
  </si>
  <si>
    <t xml:space="preserve">المسؤول</t>
  </si>
  <si>
    <t xml:space="preserve">البداية</t>
  </si>
  <si>
    <t xml:space="preserve">النهاية</t>
  </si>
  <si>
    <t xml:space="preserve">الحالة</t>
  </si>
  <si>
    <t xml:space="preserve">مخرج الاكتمال</t>
  </si>
  <si>
    <t xml:space="preserve">ملاحظات</t>
  </si>
  <si>
    <t xml:space="preserve">اعتماد سياسة الاستثمار والتوزيع (الورقة: سياسة الوقف) من ناظر الوقف</t>
  </si>
  <si>
    <t xml:space="preserve">ناظر الوقف</t>
  </si>
  <si>
    <t xml:space="preserve">لم يبدأ</t>
  </si>
  <si>
    <t xml:space="preserve">محضر اعتماد موقّع</t>
  </si>
  <si>
    <t xml:space="preserve">اشتراط تنظيم النظارة: سياسة مكتوبة للاستثمار والتوزيع</t>
  </si>
  <si>
    <t xml:space="preserve">عرض قائمة الأسهم على الهيئة الشرعية وتحديد نسب التطهير</t>
  </si>
  <si>
    <t xml:space="preserve">الهيئة الشرعية</t>
  </si>
  <si>
    <t xml:space="preserve">قرار شرعي مكتوب</t>
  </si>
  <si>
    <t xml:space="preserve">التركيز على: إكسترا، أرامكو، الراجحي والإنماء (غير مصنفة عند العصيمي)</t>
  </si>
  <si>
    <t xml:space="preserve">فتح حساب بنكي مستقل ومحفظة استثمارية باسم الوقف</t>
  </si>
  <si>
    <t xml:space="preserve">المدير المالي للجمعية</t>
  </si>
  <si>
    <t xml:space="preserve">رقم المحفظة والحساب</t>
  </si>
  <si>
    <t xml:space="preserve">لا يُخلط مال الوقف بأموال الجمعية أو الناظر</t>
  </si>
  <si>
    <t xml:space="preserve">توثيق/تسجيل الوقف لدى الهيئة العامة للأوقاف وإرفاق كشف المحفظة</t>
  </si>
  <si>
    <t xml:space="preserve">شهادة تسجيل</t>
  </si>
  <si>
    <t xml:space="preserve">يُرفق كشف المحفظة بعد الشراء</t>
  </si>
  <si>
    <t xml:space="preserve">تنفيذ الدفعة الأولى: 50% من كل مركز (≈750 ألف)</t>
  </si>
  <si>
    <t xml:space="preserve">المستشار الاستثماري / الوسيط</t>
  </si>
  <si>
    <t xml:space="preserve">كشف تنفيذ الأوامر</t>
  </si>
  <si>
    <t xml:space="preserve">الشراء قبل تاريخ استحقاق توزيع إس تي سي للربع الثالث (أوائل نوفمبر عادة)</t>
  </si>
  <si>
    <t xml:space="preserve">مراجعة نتائج الربع الثالث 2026 لكل سهم وتحديث القرار</t>
  </si>
  <si>
    <t xml:space="preserve">المستشار الاستثماري</t>
  </si>
  <si>
    <t xml:space="preserve">مذكرة تحديث</t>
  </si>
  <si>
    <t xml:space="preserve">يُستبدل أي سهم يخفض توزيعه أو يعلن خسارة</t>
  </si>
  <si>
    <t xml:space="preserve">تنفيذ الدفعة الثانية: 50% المتبقية</t>
  </si>
  <si>
    <t xml:space="preserve">على 2–3 أوامر لتقليل أثر التوقيت</t>
  </si>
  <si>
    <t xml:space="preserve">تقرير ربعي للجمعية: التوزيعات المستلمة والمصروف والتطهير</t>
  </si>
  <si>
    <t xml:space="preserve">تقرير ربعي</t>
  </si>
  <si>
    <t xml:space="preserve">يتكرر كل ربع</t>
  </si>
  <si>
    <t xml:space="preserve">حساب مبلغ التطهير الشرعي وصرفه</t>
  </si>
  <si>
    <t xml:space="preserve">الهيئة الشرعية / المدير المالي</t>
  </si>
  <si>
    <t xml:space="preserve">قيد صرف التطهير</t>
  </si>
  <si>
    <t xml:space="preserve">وفق النسب المعلنة من الجهة الشرعية المعتمدة</t>
  </si>
  <si>
    <t xml:space="preserve">المراجعة السنوية وإعادة التوازن بعد النتائج السنوية</t>
  </si>
  <si>
    <t xml:space="preserve">المستشار الاستثماري / الناظر</t>
  </si>
  <si>
    <t xml:space="preserve">محضر مراجعة سنوية</t>
  </si>
  <si>
    <t xml:space="preserve">إعادة أي وزن يتجاوز 20% إلى الحد المستهدف</t>
  </si>
  <si>
    <t xml:space="preserve">نسبة الإنجاز</t>
  </si>
  <si>
    <t xml:space="preserve">سجل المخاطر</t>
  </si>
  <si>
    <t xml:space="preserve">الاحتمال والأثر من 1 إلى 5 · الدرجة = الاحتمال × الأثر</t>
  </si>
  <si>
    <t xml:space="preserve">الخطر</t>
  </si>
  <si>
    <t xml:space="preserve">الاحتمال</t>
  </si>
  <si>
    <t xml:space="preserve">الأثر</t>
  </si>
  <si>
    <t xml:space="preserve">الدرجة</t>
  </si>
  <si>
    <t xml:space="preserve">المعالجة</t>
  </si>
  <si>
    <t xml:space="preserve">المؤشر المبكر</t>
  </si>
  <si>
    <t xml:space="preserve">تخفيض شركة لتوزيعاتها (كما حدث في سابك وذيب والدواء)</t>
  </si>
  <si>
    <t xml:space="preserve">تنويع على 8 أسهم و6 قطاعات، لا يتجاوز سهم 15%، استبعاد من يوزع أكثر من أرباحه</t>
  </si>
  <si>
    <t xml:space="preserve">نسبة التوزيع &gt; 100% لربعين</t>
  </si>
  <si>
    <t xml:space="preserve">تراجع أسعار الأسهم وانخفاض القيمة السوقية للوقف</t>
  </si>
  <si>
    <t xml:space="preserve">الوقف طويل الأجل؛ الحكم على الدخل لا السعر؛ عدم البيع تحت الضغط</t>
  </si>
  <si>
    <t xml:space="preserve">هبوط تاسي &gt; 15%</t>
  </si>
  <si>
    <t xml:space="preserve">ارتفاع الفائدة (رفع ساما في سبتمبر 2026) يضغط على البنوك والريت</t>
  </si>
  <si>
    <t xml:space="preserve">تنويع على 6 قطاعات؛ البنوك 25% فقط</t>
  </si>
  <si>
    <t xml:space="preserve">سايبور 3 أشهر &gt; 5.5%</t>
  </si>
  <si>
    <t xml:space="preserve">تقلب أسعار النفط والأسمدة (أرامكو، سابك للمغذيات)</t>
  </si>
  <si>
    <t xml:space="preserve">حصر الطاقة والأسمدة عند 27% من المحفظة</t>
  </si>
  <si>
    <t xml:space="preserve">تراجع خام برنت أو أسعار اليوريا &gt; 20%</t>
  </si>
  <si>
    <t xml:space="preserve">تغير التوافق الشرعي لسهم</t>
  </si>
  <si>
    <t xml:space="preserve">مراجعة القوائم كل ربع والاستبدال خلال 90 يوماً</t>
  </si>
  <si>
    <t xml:space="preserve">تحديث قوائم الراجحي/البلاد</t>
  </si>
  <si>
    <t xml:space="preserve">انتهاء سياسة توزيع إس تي سي في الربع الثالث 2027</t>
  </si>
  <si>
    <t xml:space="preserve">متابعة إعلان السياسة الجديدة قبل نهايتها</t>
  </si>
  <si>
    <t xml:space="preserve">إفصاح الشركة في 2027</t>
  </si>
  <si>
    <t xml:space="preserve">التضخم يآكل القيمة الحقيقية للوقف</t>
  </si>
  <si>
    <t xml:space="preserve">إعادة استثمار 20% من الغلة سنوياً</t>
  </si>
  <si>
    <t xml:space="preserve">التضخم &gt; 3%</t>
  </si>
  <si>
    <t xml:space="preserve">ضعف الحوكمة أو خلط الأموال</t>
  </si>
  <si>
    <t xml:space="preserve">حساب مستقل، تقارير ربعية، سياسة معتمدة</t>
  </si>
  <si>
    <t xml:space="preserve">تأخر التقرير الربعي</t>
  </si>
  <si>
    <t xml:space="preserve">مسودة سياسة الاستثمار والتوزيع للوقف</t>
  </si>
  <si>
    <t xml:space="preserve">مسودة مقترحة تُعتمد من الناظر والهيئة الشرعية — ليست نصاً نظامياً معتمداً</t>
  </si>
  <si>
    <t xml:space="preserve">البند</t>
  </si>
  <si>
    <t xml:space="preserve">القاعدة المقترحة</t>
  </si>
  <si>
    <t xml:space="preserve">المبرر</t>
  </si>
  <si>
    <t xml:space="preserve">الهدف</t>
  </si>
  <si>
    <t xml:space="preserve">دخل نقدي دوري مستدام للجمعية مع المحافظة على أصل الوقف ونموه</t>
  </si>
  <si>
    <t xml:space="preserve">طبيعة الوقف: حبس الأصل وتسبيل المنفعة</t>
  </si>
  <si>
    <t xml:space="preserve">الأدوات المسموحة</t>
  </si>
  <si>
    <t xml:space="preserve">أسهم سعودية متوافقة شرعياً (8 أسهم)</t>
  </si>
  <si>
    <t xml:space="preserve">طلب المتبرع + تنويع مصدر الدخل</t>
  </si>
  <si>
    <t xml:space="preserve">الأدوات الممنوعة</t>
  </si>
  <si>
    <t xml:space="preserve">الأسهم غير المتوافقة، المضاربة اليومية، التمويل بالهامش، المشتقات</t>
  </si>
  <si>
    <t xml:space="preserve">حماية الأصل</t>
  </si>
  <si>
    <t xml:space="preserve">الحد الأقصى لسهم واحد</t>
  </si>
  <si>
    <t xml:space="preserve">15% عند الشراء، ويُعاد التوازن إذا تجاوز 20%</t>
  </si>
  <si>
    <t xml:space="preserve">تقليل أثر تخفيض توزيع شركة واحدة</t>
  </si>
  <si>
    <t xml:space="preserve">الحد الأقصى لقطاع واحد</t>
  </si>
  <si>
    <t xml:space="preserve">25% (باستثناء ما يقره الناظر كتابياً)</t>
  </si>
  <si>
    <t xml:space="preserve">تنويع المخاطر القطاعية</t>
  </si>
  <si>
    <t xml:space="preserve">صرف الغلة</t>
  </si>
  <si>
    <t xml:space="preserve">80% من التوزيعات المستلمة تُصرف للجمعية، و20% يعاد استثمارها</t>
  </si>
  <si>
    <t xml:space="preserve">حماية القيمة الحقيقية من التضخم؛ صندوق الإنماء وريف يصرف 50% على الأقل</t>
  </si>
  <si>
    <t xml:space="preserve">معايير الاستبعاد</t>
  </si>
  <si>
    <t xml:space="preserve">تخفيض التوزيع مرتين متتاليتين، أو خسارة سنتين متتاليتين، أو التوزيع من غير الأرباح، أو فقد التوافق الشرعي</t>
  </si>
  <si>
    <t xml:space="preserve">منع تآكل الدخل</t>
  </si>
  <si>
    <t xml:space="preserve">مهلة الاستبدال</t>
  </si>
  <si>
    <t xml:space="preserve">90 يوماً من تحقق معيار الاستبعاد</t>
  </si>
  <si>
    <t xml:space="preserve">تجنب البيع المتعجل</t>
  </si>
  <si>
    <t xml:space="preserve">التطهير</t>
  </si>
  <si>
    <t xml:space="preserve">يحسب كل سنة وفق نسب الجهة الشرعية المعتمدة ويصرف قبل توزيع الغلة</t>
  </si>
  <si>
    <t xml:space="preserve">الامتثال الشرعي</t>
  </si>
  <si>
    <t xml:space="preserve">التقارير</t>
  </si>
  <si>
    <t xml:space="preserve">تقرير ربعي للجمعية وتقرير سنوي للمتبرع</t>
  </si>
  <si>
    <t xml:space="preserve">الشفافية والحوكمة</t>
  </si>
  <si>
    <t xml:space="preserve">المراجعة</t>
  </si>
  <si>
    <t xml:space="preserve">مراجعة سنوية للمحفظة بعد إعلان النتائج السنوية (مارس–أبريل)</t>
  </si>
  <si>
    <t xml:space="preserve">تحديث القرار بالبيانات</t>
  </si>
  <si>
    <t xml:space="preserve">سياق السوق في أكتوبر 2026</t>
  </si>
  <si>
    <t xml:space="preserve">أرقام للاسترشاد عند المقارنة بالبدائل</t>
  </si>
  <si>
    <t xml:space="preserve">المؤشر</t>
  </si>
  <si>
    <t xml:space="preserve">القيمة</t>
  </si>
  <si>
    <t xml:space="preserve">المصدر</t>
  </si>
  <si>
    <t xml:space="preserve">مؤشر تاسي في 11 أكتوبر 2026</t>
  </si>
  <si>
    <t xml:space="preserve">10,361 نقطة (≈ −1.2% منذ بداية العام)</t>
  </si>
  <si>
    <t xml:space="preserve">أرقام — التقرير اليومي</t>
  </si>
  <si>
    <t xml:space="preserve">عائد توزيعات السوق</t>
  </si>
  <si>
    <t xml:space="preserve">3.37%</t>
  </si>
  <si>
    <t xml:space="preserve">سعر الريبو لدى ساما</t>
  </si>
  <si>
    <t xml:space="preserve">4.50% (رُفع 25 نقطة في 16 سبتمبر 2026)</t>
  </si>
  <si>
    <t xml:space="preserve">ساما</t>
  </si>
  <si>
    <t xml:space="preserve">سايبور 3 أشهر</t>
  </si>
  <si>
    <t xml:space="preserve">≈ 5.49%</t>
  </si>
  <si>
    <t xml:space="preserve">الاقتصاد</t>
  </si>
  <si>
    <t xml:space="preserve">توزيعات السوق في النصف الأول 2026</t>
  </si>
  <si>
    <t xml:space="preserve">≈ 46 مليار ريال</t>
  </si>
  <si>
    <t xml:space="preserve">أرقام</t>
  </si>
  <si>
    <t xml:space="preserve">عائد المحفظة المعتمدة — أساسي</t>
  </si>
  <si>
    <t xml:space="preserve">محسوب</t>
  </si>
  <si>
    <t xml:space="preserve">ملاحظة</t>
  </si>
  <si>
    <t xml:space="preserve">عائد المرابحة قريب من 5%؛ ميزة الأسهم هي نمو الدخل والأصل على المدى الطويل لا العائد الحالي فقط</t>
  </si>
  <si>
    <t xml:space="preserve">تحليل</t>
  </si>
  <si>
    <t xml:space="preserve">المصادر</t>
  </si>
  <si>
    <t xml:space="preserve">جُمعت البيانات في 12 أكتوبر 2026 · تحقق من السعر لحظة التنفيذ</t>
  </si>
  <si>
    <t xml:space="preserve">البيان</t>
  </si>
  <si>
    <t xml:space="preserve">الرابط</t>
  </si>
  <si>
    <t xml:space="preserve">قوائم التوافق الشرعي (أرقام)</t>
  </si>
  <si>
    <t xml:space="preserve">https://www.argaam.com/ar/company/shariahcompanies</t>
  </si>
  <si>
    <t xml:space="preserve">توزيعات الراجحي</t>
  </si>
  <si>
    <t xml:space="preserve">https://www.argaam.com/en/reports/company-dividend/57654</t>
  </si>
  <si>
    <t xml:space="preserve">توزيعات الإنماء</t>
  </si>
  <si>
    <t xml:space="preserve">https://www.argaam.com/en/reports/company-dividend/60023</t>
  </si>
  <si>
    <t xml:space="preserve">سياسة توزيع إس تي سي</t>
  </si>
  <si>
    <t xml:space="preserve">https://www.stc.com/content/dam/groupsites/en/pdf/divident-policy-new.pdf</t>
  </si>
  <si>
    <t xml:space="preserve">توزيعات إس تي سي</t>
  </si>
  <si>
    <t xml:space="preserve">https://www.argaam.com/en/reports/company-dividend/60414</t>
  </si>
  <si>
    <t xml:space="preserve">نتائج أرامكو النصف الأول 2026</t>
  </si>
  <si>
    <t xml:space="preserve">https://www.aramco.com/en/news-media/news/2026/aramco-announces-second-quarter-and-half-year-2026-results</t>
  </si>
  <si>
    <t xml:space="preserve">توزيعات أرامكو</t>
  </si>
  <si>
    <t xml:space="preserve">https://www.argaam.com/en/reports/company-dividend/60609</t>
  </si>
  <si>
    <t xml:space="preserve">توزيعات سابك</t>
  </si>
  <si>
    <t xml:space="preserve">https://www.argaam.com/en/reports/company-dividend/60378</t>
  </si>
  <si>
    <t xml:space="preserve">توزيعات سابك للمغذيات</t>
  </si>
  <si>
    <t xml:space="preserve">https://www.argaam.com/en/reports/company-dividend/60170</t>
  </si>
  <si>
    <t xml:space="preserve">توزيعات سبكيم</t>
  </si>
  <si>
    <t xml:space="preserve">https://www.argaam.com/en/reports/company-dividend/53995</t>
  </si>
  <si>
    <t xml:space="preserve">توزيعات جرير</t>
  </si>
  <si>
    <t xml:space="preserve">https://www.argaam.com/en/reports/company-dividend/60923</t>
  </si>
  <si>
    <t xml:space="preserve">توزيعات النهدي</t>
  </si>
  <si>
    <t xml:space="preserve">https://www.argaam.com/en/reports/company-dividend/56561</t>
  </si>
  <si>
    <t xml:space="preserve">توزيعات إكسترا</t>
  </si>
  <si>
    <t xml:space="preserve">https://www.argaam.com/en/reports/company-dividend/60571</t>
  </si>
  <si>
    <t xml:space="preserve">توزيعات ذيب</t>
  </si>
  <si>
    <t xml:space="preserve">https://www.argaam.com/en/reports/company-dividend/56989</t>
  </si>
  <si>
    <t xml:space="preserve">تقرير الإنماء للاستثمار عن ذيب</t>
  </si>
  <si>
    <t xml:space="preserve">https://alinmacapital.com/-/media/Project/Alinma/PDF/Jun2026/Theeb-23-06-2026.pdf</t>
  </si>
  <si>
    <t xml:space="preserve">توزيعات الدواء</t>
  </si>
  <si>
    <t xml:space="preserve">https://www.argaam.com/en/reports/company-dividend/58775</t>
  </si>
  <si>
    <t xml:space="preserve">توزيعات أسمنت السعودية</t>
  </si>
  <si>
    <t xml:space="preserve">https://www.argaam.com/en/reports/company-dividend/58878</t>
  </si>
  <si>
    <t xml:space="preserve">توزيعات جدوى ريت السعودية</t>
  </si>
  <si>
    <t xml:space="preserve">https://www.argaam.com/ar/reports/company-dividend/61100</t>
  </si>
  <si>
    <t xml:space="preserve">توزيعات الراجحي ريت</t>
  </si>
  <si>
    <t xml:space="preserve">https://www.argaam.com/ar/reports/company-dividend/61251</t>
  </si>
  <si>
    <t xml:space="preserve">التقرير السنوي لسدكو ريت 2025</t>
  </si>
  <si>
    <t xml:space="preserve">https://sedcocapital.com/wp-content/uploads/2026/03/SCREIT-Annual-Report-2025-EN.pdf</t>
  </si>
  <si>
    <t xml:space="preserve">قرار ساما برفع الفائدة</t>
  </si>
  <si>
    <t xml:space="preserve">https://www.sama.gov.sa/en-us/MediaCenter/News/Pages/news-1169.aspx</t>
  </si>
  <si>
    <t xml:space="preserve">التقرير اليومي لأرقام 11-10-2026</t>
  </si>
  <si>
    <t xml:space="preserve">https://www.argaam.com/ar/market-daily-report/3/62421</t>
  </si>
  <si>
    <t xml:space="preserve">الشركات ذات العائد فوق 6% (الاقتصادية)</t>
  </si>
  <si>
    <t xml:space="preserve">https://www.aleqt.com/تقارير-وتحليلات/مع-منافسة-الصكوك-والودائع-19-شركة-في-تاسي-بعائد-توزيع-فوق-6-10034</t>
  </si>
  <si>
    <t xml:space="preserve">شروط صندوق الإنماء وريف الوقفي</t>
  </si>
  <si>
    <t xml:space="preserve">https://cma.gov.sa/Market/imf/Documents/0511-1-23-026.pdf</t>
  </si>
  <si>
    <t xml:space="preserve">لائحة النظارة — الهيئة العامة للأوقاف</t>
  </si>
  <si>
    <t xml:space="preserve">https://www.uqn.gov.sa/details?p=18926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</si>
</sst>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ر.س&quot;"/>
    <numFmt numFmtId="166" formatCode="0.0%"/>
    <numFmt numFmtId="167" formatCode="0.00%"/>
    <numFmt numFmtId="168" formatCode="#,##0.00"/>
    <numFmt numFmtId="169" formatCode="#,##0"/>
    <numFmt numFmtId="170" formatCode="yyyy\-mm\-dd"/>
    <numFmt numFmtId="171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2E7D6B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1"/>
      <color rgb="FF1B7F4C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b val="true"/>
      <sz val="11"/>
      <color rgb="FF8A6D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EF3F1"/>
        <bgColor rgb="FFF5F6F7"/>
      </patternFill>
    </fill>
    <fill>
      <patternFill patternType="solid">
        <fgColor rgb="FFFFF4C2"/>
        <bgColor rgb="FFFCE8B2"/>
      </patternFill>
    </fill>
    <fill>
      <patternFill patternType="solid">
        <fgColor rgb="FF2E7D6B"/>
        <bgColor rgb="FF1B7F4C"/>
      </patternFill>
    </fill>
    <fill>
      <patternFill patternType="solid">
        <fgColor rgb="FFF5F6F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1CC"/>
      </left>
      <right style="thin">
        <color rgb="FFC8D1CC"/>
      </right>
      <top style="thin">
        <color rgb="FFC8D1CC"/>
      </top>
      <bottom style="thin">
        <color rgb="FFC8D1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6C7C3"/>
        </patternFill>
      </fill>
    </dxf>
    <dxf>
      <fill>
        <patternFill>
          <bgColor rgb="FFFCE8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B7F4C"/>
      <rgbColor rgb="FFC8D1CC"/>
      <rgbColor rgb="FF878787"/>
      <rgbColor rgb="FF9999FF"/>
      <rgbColor rgb="FFC0504D"/>
      <rgbColor rgb="FFFFF4C2"/>
      <rgbColor rgb="FFEEF3F1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7"/>
      <rgbColor rgb="FFF9F9F9"/>
      <rgbColor rgb="FFFCE8B2"/>
      <rgbColor rgb="FF99CCFF"/>
      <rgbColor rgb="FFFF99CC"/>
      <rgbColor rgb="FFCC99FF"/>
      <rgbColor rgb="FFF6C7C3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A5F"/>
      <rgbColor rgb="FF2E7D6B"/>
      <rgbColor rgb="FF003300"/>
      <rgbColor rgb="FF333300"/>
      <rgbColor rgb="FFB3261E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التوزيع القطاعي للمحفظة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'المحفظة المقترحة'!D30</c:f>
              <c:strCache>
                <c:ptCount val="1"/>
                <c:pt idx="0">
                  <c:v>الوزن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'المحفظة المقترحة'!$C$31:$C$36</c:f>
              <c:strCache>
                <c:ptCount val="6"/>
                <c:pt idx="0">
                  <c:v>البنوك</c:v>
                </c:pt>
                <c:pt idx="1">
                  <c:v>الاتصالات</c:v>
                </c:pt>
                <c:pt idx="2">
                  <c:v>الطاقة</c:v>
                </c:pt>
                <c:pt idx="3">
                  <c:v>التجزئة</c:v>
                </c:pt>
                <c:pt idx="4">
                  <c:v>الرعاية الصحية</c:v>
                </c:pt>
                <c:pt idx="5">
                  <c:v>المواد الأساسية</c:v>
                </c:pt>
              </c:strCache>
            </c:strRef>
          </c:cat>
          <c:val>
            <c:numRef>
              <c:f>'المحفظة المقترحة'!$D$31:$D$36</c:f>
              <c:numCache>
                <c:formatCode>0.0%</c:formatCode>
                <c:ptCount val="6"/>
                <c:pt idx="0">
                  <c:v>0.25</c:v>
                </c:pt>
                <c:pt idx="1">
                  <c:v>0.15</c:v>
                </c:pt>
                <c:pt idx="2">
                  <c:v>0.15</c:v>
                </c:pt>
                <c:pt idx="3">
                  <c:v>0.1</c:v>
                </c:pt>
                <c:pt idx="4">
                  <c:v>0.13</c:v>
                </c:pt>
                <c:pt idx="5">
                  <c:v>0.22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الدخل السنوي المتوقع لكل سهم (ريال)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'المحفظة المقترحة'!M9</c:f>
              <c:strCache>
                <c:ptCount val="1"/>
                <c:pt idx="0">
                  <c:v>الدخل السنوي — أساسي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'المحفظة المقترحة'!$C$10:$C$17</c:f>
              <c:strCache>
                <c:ptCount val="8"/>
                <c:pt idx="0">
                  <c:v>مصرف الراجحي</c:v>
                </c:pt>
                <c:pt idx="1">
                  <c:v>مصرف الإنماء</c:v>
                </c:pt>
                <c:pt idx="2">
                  <c:v>إس تي سي</c:v>
                </c:pt>
                <c:pt idx="3">
                  <c:v>أرامكو السعودية</c:v>
                </c:pt>
                <c:pt idx="4">
                  <c:v>النهدي الطبية</c:v>
                </c:pt>
                <c:pt idx="5">
                  <c:v>سابك للمغذيات الزراعية</c:v>
                </c:pt>
                <c:pt idx="6">
                  <c:v>أسمنت السعودية</c:v>
                </c:pt>
                <c:pt idx="7">
                  <c:v>المتحدة للإلكترونيات (إكسترا)</c:v>
                </c:pt>
              </c:strCache>
            </c:strRef>
          </c:cat>
          <c:val>
            <c:numRef>
              <c:f>'المحفظة المقترحة'!$M$10:$M$17</c:f>
              <c:numCache>
                <c:formatCode>#,##0" ر.س"</c:formatCode>
                <c:ptCount val="8"/>
                <c:pt idx="0">
                  <c:v>8808.75</c:v>
                </c:pt>
                <c:pt idx="1">
                  <c:v>6337</c:v>
                </c:pt>
                <c:pt idx="2">
                  <c:v>11704</c:v>
                </c:pt>
                <c:pt idx="3">
                  <c:v>11857.84</c:v>
                </c:pt>
                <c:pt idx="4">
                  <c:v>12180</c:v>
                </c:pt>
                <c:pt idx="5">
                  <c:v>10906</c:v>
                </c:pt>
                <c:pt idx="6">
                  <c:v>10303.2</c:v>
                </c:pt>
                <c:pt idx="7">
                  <c:v>13440</c:v>
                </c:pt>
              </c:numCache>
            </c:numRef>
          </c:val>
        </c:ser>
        <c:ser>
          <c:idx val="1"/>
          <c:order val="1"/>
          <c:tx>
            <c:strRef>
              <c:f>'المحفظة المقترحة'!N9</c:f>
              <c:strCache>
                <c:ptCount val="1"/>
                <c:pt idx="0">
                  <c:v>الدخل السنوي — متحفظ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'المحفظة المقترحة'!$C$10:$C$17</c:f>
              <c:strCache>
                <c:ptCount val="8"/>
                <c:pt idx="0">
                  <c:v>مصرف الراجحي</c:v>
                </c:pt>
                <c:pt idx="1">
                  <c:v>مصرف الإنماء</c:v>
                </c:pt>
                <c:pt idx="2">
                  <c:v>إس تي سي</c:v>
                </c:pt>
                <c:pt idx="3">
                  <c:v>أرامكو السعودية</c:v>
                </c:pt>
                <c:pt idx="4">
                  <c:v>النهدي الطبية</c:v>
                </c:pt>
                <c:pt idx="5">
                  <c:v>سابك للمغذيات الزراعية</c:v>
                </c:pt>
                <c:pt idx="6">
                  <c:v>أسمنت السعودية</c:v>
                </c:pt>
                <c:pt idx="7">
                  <c:v>المتحدة للإلكترونيات (إكسترا)</c:v>
                </c:pt>
              </c:strCache>
            </c:strRef>
          </c:cat>
          <c:val>
            <c:numRef>
              <c:f>'المحفظة المقترحة'!$N$10:$N$17</c:f>
              <c:numCache>
                <c:formatCode>#,##0" ر.س"</c:formatCode>
                <c:ptCount val="8"/>
                <c:pt idx="0">
                  <c:v>8808.75</c:v>
                </c:pt>
                <c:pt idx="1">
                  <c:v>4752.75</c:v>
                </c:pt>
                <c:pt idx="2">
                  <c:v>11704</c:v>
                </c:pt>
                <c:pt idx="3">
                  <c:v>11857.84</c:v>
                </c:pt>
                <c:pt idx="4">
                  <c:v>10875</c:v>
                </c:pt>
                <c:pt idx="5">
                  <c:v>8569</c:v>
                </c:pt>
                <c:pt idx="6">
                  <c:v>9158.4</c:v>
                </c:pt>
                <c:pt idx="7">
                  <c:v>10752</c:v>
                </c:pt>
              </c:numCache>
            </c:numRef>
          </c:val>
        </c:ser>
        <c:gapWidth val="150"/>
        <c:overlap val="0"/>
        <c:axId val="88347056"/>
        <c:axId val="23675612"/>
      </c:barChart>
      <c:catAx>
        <c:axId val="8834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75612"/>
        <c:crosses val="autoZero"/>
        <c:auto val="1"/>
        <c:lblAlgn val="ctr"/>
        <c:lblOffset val="100"/>
        <c:noMultiLvlLbl val="0"/>
      </c:catAx>
      <c:valAx>
        <c:axId val="23675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ر.س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47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-725040</xdr:colOff>
      <xdr:row>28</xdr:row>
      <xdr:rowOff>0</xdr:rowOff>
    </xdr:from>
    <xdr:to>
      <xdr:col>10</xdr:col>
      <xdr:colOff>0</xdr:colOff>
      <xdr:row>41</xdr:row>
      <xdr:rowOff>136440</xdr:rowOff>
    </xdr:to>
    <xdr:graphicFrame>
      <xdr:nvGraphicFramePr>
        <xdr:cNvPr id="0" name="Chart 1"/>
        <xdr:cNvGraphicFramePr/>
      </xdr:nvGraphicFramePr>
      <xdr:xfrm>
        <a:off x="-9042120" y="58388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-1812600</xdr:colOff>
      <xdr:row>28</xdr:row>
      <xdr:rowOff>0</xdr:rowOff>
    </xdr:from>
    <xdr:to>
      <xdr:col>15</xdr:col>
      <xdr:colOff>0</xdr:colOff>
      <xdr:row>43</xdr:row>
      <xdr:rowOff>115560</xdr:rowOff>
    </xdr:to>
    <xdr:graphicFrame>
      <xdr:nvGraphicFramePr>
        <xdr:cNvPr id="1" name="Chart 2"/>
        <xdr:cNvGraphicFramePr/>
      </xdr:nvGraphicFramePr>
      <xdr:xfrm>
        <a:off x="-14993280" y="5838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argaam.com/ar/company/shariahcompanies" TargetMode="External"/><Relationship Id="rId2" Type="http://schemas.openxmlformats.org/officeDocument/2006/relationships/hyperlink" Target="https://www.argaam.com/en/reports/company-dividend/57654" TargetMode="External"/><Relationship Id="rId3" Type="http://schemas.openxmlformats.org/officeDocument/2006/relationships/hyperlink" Target="https://www.argaam.com/en/reports/company-dividend/60023" TargetMode="External"/><Relationship Id="rId4" Type="http://schemas.openxmlformats.org/officeDocument/2006/relationships/hyperlink" Target="https://www.stc.com/content/dam/groupsites/en/pdf/divident-policy-new.pdf" TargetMode="External"/><Relationship Id="rId5" Type="http://schemas.openxmlformats.org/officeDocument/2006/relationships/hyperlink" Target="https://www.argaam.com/en/reports/company-dividend/60414" TargetMode="External"/><Relationship Id="rId6" Type="http://schemas.openxmlformats.org/officeDocument/2006/relationships/hyperlink" Target="https://www.aramco.com/en/news-media/news/2026/aramco-announces-second-quarter-and-half-year-2026-results" TargetMode="External"/><Relationship Id="rId7" Type="http://schemas.openxmlformats.org/officeDocument/2006/relationships/hyperlink" Target="https://www.argaam.com/en/reports/company-dividend/60609" TargetMode="External"/><Relationship Id="rId8" Type="http://schemas.openxmlformats.org/officeDocument/2006/relationships/hyperlink" Target="https://www.argaam.com/en/reports/company-dividend/60378" TargetMode="External"/><Relationship Id="rId9" Type="http://schemas.openxmlformats.org/officeDocument/2006/relationships/hyperlink" Target="https://www.argaam.com/en/reports/company-dividend/60170" TargetMode="External"/><Relationship Id="rId10" Type="http://schemas.openxmlformats.org/officeDocument/2006/relationships/hyperlink" Target="https://www.argaam.com/en/reports/company-dividend/53995" TargetMode="External"/><Relationship Id="rId11" Type="http://schemas.openxmlformats.org/officeDocument/2006/relationships/hyperlink" Target="https://www.argaam.com/en/reports/company-dividend/60923" TargetMode="External"/><Relationship Id="rId12" Type="http://schemas.openxmlformats.org/officeDocument/2006/relationships/hyperlink" Target="https://www.argaam.com/en/reports/company-dividend/56561" TargetMode="External"/><Relationship Id="rId13" Type="http://schemas.openxmlformats.org/officeDocument/2006/relationships/hyperlink" Target="https://www.argaam.com/en/reports/company-dividend/60571" TargetMode="External"/><Relationship Id="rId14" Type="http://schemas.openxmlformats.org/officeDocument/2006/relationships/hyperlink" Target="https://www.argaam.com/en/reports/company-dividend/56989" TargetMode="External"/><Relationship Id="rId15" Type="http://schemas.openxmlformats.org/officeDocument/2006/relationships/hyperlink" Target="https://alinmacapital.com/-/media/Project/Alinma/PDF/Jun2026/Theeb-23-06-2026.pdf" TargetMode="External"/><Relationship Id="rId16" Type="http://schemas.openxmlformats.org/officeDocument/2006/relationships/hyperlink" Target="https://www.argaam.com/en/reports/company-dividend/58775" TargetMode="External"/><Relationship Id="rId17" Type="http://schemas.openxmlformats.org/officeDocument/2006/relationships/hyperlink" Target="https://www.argaam.com/en/reports/company-dividend/58878" TargetMode="External"/><Relationship Id="rId18" Type="http://schemas.openxmlformats.org/officeDocument/2006/relationships/hyperlink" Target="https://www.argaam.com/ar/reports/company-dividend/61100" TargetMode="External"/><Relationship Id="rId19" Type="http://schemas.openxmlformats.org/officeDocument/2006/relationships/hyperlink" Target="https://www.argaam.com/ar/reports/company-dividend/61251" TargetMode="External"/><Relationship Id="rId20" Type="http://schemas.openxmlformats.org/officeDocument/2006/relationships/hyperlink" Target="https://sedcocapital.com/wp-content/uploads/2026/03/SCREIT-Annual-Report-2025-EN.pdf" TargetMode="External"/><Relationship Id="rId21" Type="http://schemas.openxmlformats.org/officeDocument/2006/relationships/hyperlink" Target="https://www.sama.gov.sa/en-us/MediaCenter/News/Pages/news-1169.aspx" TargetMode="External"/><Relationship Id="rId22" Type="http://schemas.openxmlformats.org/officeDocument/2006/relationships/hyperlink" Target="https://www.argaam.com/ar/market-daily-report/3/62421" TargetMode="External"/><Relationship Id="rId23" Type="http://schemas.openxmlformats.org/officeDocument/2006/relationships/hyperlink" Target="https://www.aleqt.com/&#1578;&#1602;&#1575;&#1585;&#1610;&#1585;-&#1608;&#1578;&#1581;&#1604;&#1610;&#1604;&#1575;&#1578;/&#1605;&#1593;-&#1605;&#1606;&#1575;&#1601;&#1587;&#1577;-&#1575;&#1604;&#1589;&#1603;&#1608;&#1603;-&#1608;&#1575;&#1604;&#1608;&#1583;&#1575;&#1574;&#1593;-19-&#1588;&#1585;&#1603;&#1577;-&#1601;&#1610;-&#1578;&#1575;&#1587;&#1610;-&#1576;&#1593;&#1575;&#1574;&#1583;-&#1578;&#1608;&#1586;&#1610;&#1593;-&#1601;&#1608;&#1602;-6-10034" TargetMode="External"/><Relationship Id="rId24" Type="http://schemas.openxmlformats.org/officeDocument/2006/relationships/hyperlink" Target="https://cma.gov.sa/Market/imf/Documents/0511-1-23-026.pdf" TargetMode="External"/><Relationship Id="rId25" Type="http://schemas.openxmlformats.org/officeDocument/2006/relationships/hyperlink" Target="https://www.uqn.gov.sa/details?p=189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4" min="13" style="0" width="15"/>
    <col collapsed="false" customWidth="true" hidden="false" outlineLevel="0" max="15" min="15" style="0" width="13"/>
    <col collapsed="false" customWidth="true" hidden="false" outlineLevel="0" max="16" min="16" style="0" width="48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15" hidden="false" customHeight="true" outlineLevel="0" collapsed="false">
      <c r="B5" s="3" t="s">
        <v>2</v>
      </c>
      <c r="C5" s="3"/>
      <c r="D5" s="3"/>
      <c r="E5" s="4" t="n">
        <v>1500000</v>
      </c>
      <c r="F5" s="5" t="s">
        <v>3</v>
      </c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true" outlineLevel="0" collapsed="false">
      <c r="B6" s="3" t="s">
        <v>4</v>
      </c>
      <c r="C6" s="3"/>
      <c r="D6" s="3"/>
      <c r="E6" s="6" t="n">
        <v>0.8</v>
      </c>
      <c r="F6" s="5" t="s">
        <v>5</v>
      </c>
      <c r="G6" s="5"/>
      <c r="H6" s="5"/>
      <c r="I6" s="5"/>
      <c r="J6" s="5"/>
      <c r="K6" s="5"/>
      <c r="L6" s="5"/>
      <c r="M6" s="5"/>
      <c r="N6" s="5"/>
      <c r="O6" s="5"/>
    </row>
    <row r="7" customFormat="false" ht="15" hidden="false" customHeight="true" outlineLevel="0" collapsed="false">
      <c r="B7" s="3" t="s">
        <v>6</v>
      </c>
      <c r="C7" s="3"/>
      <c r="D7" s="3"/>
      <c r="E7" s="7" t="n">
        <v>0.0017</v>
      </c>
      <c r="F7" s="5" t="s">
        <v>7</v>
      </c>
      <c r="G7" s="5"/>
      <c r="H7" s="5"/>
      <c r="I7" s="5"/>
      <c r="J7" s="5"/>
      <c r="K7" s="5"/>
      <c r="L7" s="5"/>
      <c r="M7" s="5"/>
      <c r="N7" s="5"/>
      <c r="O7" s="5"/>
    </row>
    <row r="9" customFormat="false" ht="36" hidden="false" customHeight="true" outlineLevel="0" collapsed="false"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8" t="s">
        <v>15</v>
      </c>
      <c r="J9" s="8" t="s">
        <v>16</v>
      </c>
      <c r="K9" s="8" t="s">
        <v>17</v>
      </c>
      <c r="L9" s="8" t="s">
        <v>18</v>
      </c>
      <c r="M9" s="8" t="s">
        <v>19</v>
      </c>
      <c r="N9" s="8" t="s">
        <v>20</v>
      </c>
      <c r="O9" s="8" t="s">
        <v>21</v>
      </c>
      <c r="P9" s="8" t="s">
        <v>22</v>
      </c>
    </row>
    <row r="10" customFormat="false" ht="15" hidden="false" customHeight="false" outlineLevel="0" collapsed="false">
      <c r="B10" s="9" t="n">
        <v>1</v>
      </c>
      <c r="C10" s="10" t="s">
        <v>23</v>
      </c>
      <c r="D10" s="9" t="s">
        <v>24</v>
      </c>
      <c r="E10" s="9" t="s">
        <v>25</v>
      </c>
      <c r="F10" s="11" t="n">
        <v>0.15</v>
      </c>
      <c r="G10" s="12" t="n">
        <f aca="false">$E$5*F10</f>
        <v>225000</v>
      </c>
      <c r="H10" s="13" t="n">
        <v>61.95</v>
      </c>
      <c r="I10" s="14" t="n">
        <f aca="false">ROUNDDOWN(G10/(H10*(1+$E$7)),0)</f>
        <v>3625</v>
      </c>
      <c r="J10" s="12" t="n">
        <f aca="false">I10*H10*(1+$E$7)</f>
        <v>224950.516875</v>
      </c>
      <c r="K10" s="13" t="n">
        <v>2.43</v>
      </c>
      <c r="L10" s="13" t="n">
        <v>2.43</v>
      </c>
      <c r="M10" s="12" t="n">
        <f aca="false">I10*K10</f>
        <v>8808.75</v>
      </c>
      <c r="N10" s="12" t="n">
        <f aca="false">I10*L10</f>
        <v>8808.75</v>
      </c>
      <c r="O10" s="15" t="n">
        <f aca="false">IFERROR(M10/J10,0)</f>
        <v>0.0391586119577348</v>
      </c>
      <c r="P10" s="16" t="s">
        <v>26</v>
      </c>
    </row>
    <row r="11" customFormat="false" ht="15" hidden="false" customHeight="false" outlineLevel="0" collapsed="false">
      <c r="B11" s="17" t="n">
        <v>2</v>
      </c>
      <c r="C11" s="18" t="s">
        <v>27</v>
      </c>
      <c r="D11" s="17" t="s">
        <v>28</v>
      </c>
      <c r="E11" s="17" t="s">
        <v>25</v>
      </c>
      <c r="F11" s="19" t="n">
        <v>0.1</v>
      </c>
      <c r="G11" s="20" t="n">
        <f aca="false">$E$5*F11</f>
        <v>150000</v>
      </c>
      <c r="H11" s="21" t="n">
        <v>23.63</v>
      </c>
      <c r="I11" s="22" t="n">
        <f aca="false">ROUNDDOWN(G11/(H11*(1+$E$7)),0)</f>
        <v>6337</v>
      </c>
      <c r="J11" s="20" t="n">
        <f aca="false">I11*H11*(1+$E$7)</f>
        <v>149997.873627</v>
      </c>
      <c r="K11" s="21" t="n">
        <v>1</v>
      </c>
      <c r="L11" s="21" t="n">
        <v>0.75</v>
      </c>
      <c r="M11" s="20" t="n">
        <f aca="false">I11*K11</f>
        <v>6337</v>
      </c>
      <c r="N11" s="20" t="n">
        <f aca="false">I11*L11</f>
        <v>4752.75</v>
      </c>
      <c r="O11" s="23" t="n">
        <f aca="false">IFERROR(M11/J11,0)</f>
        <v>0.0422472655562987</v>
      </c>
      <c r="P11" s="24" t="s">
        <v>29</v>
      </c>
    </row>
    <row r="12" customFormat="false" ht="15" hidden="false" customHeight="false" outlineLevel="0" collapsed="false">
      <c r="B12" s="9" t="n">
        <v>3</v>
      </c>
      <c r="C12" s="10" t="s">
        <v>30</v>
      </c>
      <c r="D12" s="9" t="s">
        <v>31</v>
      </c>
      <c r="E12" s="9" t="s">
        <v>32</v>
      </c>
      <c r="F12" s="11" t="n">
        <v>0.15</v>
      </c>
      <c r="G12" s="12" t="n">
        <f aca="false">$E$5*F12</f>
        <v>225000</v>
      </c>
      <c r="H12" s="13" t="n">
        <v>42.22</v>
      </c>
      <c r="I12" s="14" t="n">
        <f aca="false">ROUNDDOWN(G12/(H12*(1+$E$7)),0)</f>
        <v>5320</v>
      </c>
      <c r="J12" s="12" t="n">
        <f aca="false">I12*H12*(1+$E$7)</f>
        <v>224992.23768</v>
      </c>
      <c r="K12" s="13" t="n">
        <v>2.2</v>
      </c>
      <c r="L12" s="13" t="n">
        <v>2.2</v>
      </c>
      <c r="M12" s="12" t="n">
        <f aca="false">I12*K12</f>
        <v>11704</v>
      </c>
      <c r="N12" s="12" t="n">
        <f aca="false">I12*L12</f>
        <v>11704</v>
      </c>
      <c r="O12" s="15" t="n">
        <f aca="false">IFERROR(M12/J12,0)</f>
        <v>0.0520195724114103</v>
      </c>
      <c r="P12" s="16" t="s">
        <v>33</v>
      </c>
    </row>
    <row r="13" customFormat="false" ht="15" hidden="false" customHeight="false" outlineLevel="0" collapsed="false">
      <c r="B13" s="17" t="n">
        <v>4</v>
      </c>
      <c r="C13" s="18" t="s">
        <v>34</v>
      </c>
      <c r="D13" s="17" t="s">
        <v>35</v>
      </c>
      <c r="E13" s="17" t="s">
        <v>36</v>
      </c>
      <c r="F13" s="19" t="n">
        <v>0.15</v>
      </c>
      <c r="G13" s="20" t="n">
        <f aca="false">$E$5*F13</f>
        <v>225000</v>
      </c>
      <c r="H13" s="21" t="n">
        <v>25.76</v>
      </c>
      <c r="I13" s="22" t="n">
        <f aca="false">ROUNDDOWN(G13/(H13*(1+$E$7)),0)</f>
        <v>8719</v>
      </c>
      <c r="J13" s="20" t="n">
        <f aca="false">I13*H13*(1+$E$7)</f>
        <v>224983.262448</v>
      </c>
      <c r="K13" s="21" t="n">
        <v>1.36</v>
      </c>
      <c r="L13" s="21" t="n">
        <v>1.36</v>
      </c>
      <c r="M13" s="20" t="n">
        <f aca="false">I13*K13</f>
        <v>11857.84</v>
      </c>
      <c r="N13" s="20" t="n">
        <f aca="false">I13*L13</f>
        <v>11857.84</v>
      </c>
      <c r="O13" s="23" t="n">
        <f aca="false">IFERROR(M13/J13,0)</f>
        <v>0.0527054318218036</v>
      </c>
      <c r="P13" s="24" t="s">
        <v>37</v>
      </c>
    </row>
    <row r="14" customFormat="false" ht="15" hidden="false" customHeight="false" outlineLevel="0" collapsed="false">
      <c r="B14" s="9" t="n">
        <v>5</v>
      </c>
      <c r="C14" s="10" t="s">
        <v>38</v>
      </c>
      <c r="D14" s="9" t="s">
        <v>39</v>
      </c>
      <c r="E14" s="9" t="s">
        <v>40</v>
      </c>
      <c r="F14" s="11" t="n">
        <v>0.13</v>
      </c>
      <c r="G14" s="12" t="n">
        <f aca="false">$E$5*F14</f>
        <v>195000</v>
      </c>
      <c r="H14" s="13" t="n">
        <v>89.5</v>
      </c>
      <c r="I14" s="14" t="n">
        <f aca="false">ROUNDDOWN(G14/(H14*(1+$E$7)),0)</f>
        <v>2175</v>
      </c>
      <c r="J14" s="12" t="n">
        <f aca="false">I14*H14*(1+$E$7)</f>
        <v>194993.42625</v>
      </c>
      <c r="K14" s="13" t="n">
        <v>5.6</v>
      </c>
      <c r="L14" s="13" t="n">
        <v>5</v>
      </c>
      <c r="M14" s="12" t="n">
        <f aca="false">I14*K14</f>
        <v>12180</v>
      </c>
      <c r="N14" s="12" t="n">
        <f aca="false">I14*L14</f>
        <v>10875</v>
      </c>
      <c r="O14" s="15" t="n">
        <f aca="false">IFERROR(M14/J14,0)</f>
        <v>0.0624636442070826</v>
      </c>
      <c r="P14" s="16" t="s">
        <v>41</v>
      </c>
    </row>
    <row r="15" customFormat="false" ht="15" hidden="false" customHeight="false" outlineLevel="0" collapsed="false">
      <c r="B15" s="17" t="n">
        <v>6</v>
      </c>
      <c r="C15" s="18" t="s">
        <v>42</v>
      </c>
      <c r="D15" s="17" t="s">
        <v>43</v>
      </c>
      <c r="E15" s="17" t="s">
        <v>44</v>
      </c>
      <c r="F15" s="19" t="n">
        <v>0.12</v>
      </c>
      <c r="G15" s="20" t="n">
        <f aca="false">$E$5*F15</f>
        <v>180000</v>
      </c>
      <c r="H15" s="21" t="n">
        <v>115.3</v>
      </c>
      <c r="I15" s="22" t="n">
        <f aca="false">ROUNDDOWN(G15/(H15*(1+$E$7)),0)</f>
        <v>1558</v>
      </c>
      <c r="J15" s="20" t="n">
        <f aca="false">I15*H15*(1+$E$7)</f>
        <v>179942.78358</v>
      </c>
      <c r="K15" s="21" t="n">
        <v>7</v>
      </c>
      <c r="L15" s="21" t="n">
        <v>5.5</v>
      </c>
      <c r="M15" s="20" t="n">
        <f aca="false">I15*K15</f>
        <v>10906</v>
      </c>
      <c r="N15" s="20" t="n">
        <f aca="false">I15*L15</f>
        <v>8569</v>
      </c>
      <c r="O15" s="23" t="n">
        <f aca="false">IFERROR(M15/J15,0)</f>
        <v>0.0606081543423015</v>
      </c>
      <c r="P15" s="24" t="s">
        <v>45</v>
      </c>
    </row>
    <row r="16" customFormat="false" ht="15" hidden="false" customHeight="false" outlineLevel="0" collapsed="false">
      <c r="B16" s="9" t="n">
        <v>7</v>
      </c>
      <c r="C16" s="10" t="s">
        <v>46</v>
      </c>
      <c r="D16" s="9" t="s">
        <v>47</v>
      </c>
      <c r="E16" s="9" t="s">
        <v>44</v>
      </c>
      <c r="F16" s="11" t="n">
        <v>0.1</v>
      </c>
      <c r="G16" s="12" t="n">
        <f aca="false">$E$5*F16</f>
        <v>150000</v>
      </c>
      <c r="H16" s="13" t="n">
        <v>26.16</v>
      </c>
      <c r="I16" s="14" t="n">
        <f aca="false">ROUNDDOWN(G16/(H16*(1+$E$7)),0)</f>
        <v>5724</v>
      </c>
      <c r="J16" s="12" t="n">
        <f aca="false">I16*H16*(1+$E$7)</f>
        <v>149994.397728</v>
      </c>
      <c r="K16" s="13" t="n">
        <v>1.8</v>
      </c>
      <c r="L16" s="13" t="n">
        <v>1.6</v>
      </c>
      <c r="M16" s="12" t="n">
        <f aca="false">I16*K16</f>
        <v>10303.2</v>
      </c>
      <c r="N16" s="12" t="n">
        <f aca="false">I16*L16</f>
        <v>9158.4</v>
      </c>
      <c r="O16" s="15" t="n">
        <f aca="false">IFERROR(M16/J16,0)</f>
        <v>0.0686905654882113</v>
      </c>
      <c r="P16" s="16" t="s">
        <v>48</v>
      </c>
    </row>
    <row r="17" customFormat="false" ht="15" hidden="false" customHeight="false" outlineLevel="0" collapsed="false">
      <c r="B17" s="17" t="n">
        <v>8</v>
      </c>
      <c r="C17" s="18" t="s">
        <v>49</v>
      </c>
      <c r="D17" s="17" t="s">
        <v>50</v>
      </c>
      <c r="E17" s="17" t="s">
        <v>51</v>
      </c>
      <c r="F17" s="19" t="n">
        <v>0.1</v>
      </c>
      <c r="G17" s="20" t="n">
        <f aca="false">$E$5*F17</f>
        <v>150000</v>
      </c>
      <c r="H17" s="21" t="n">
        <v>55.7</v>
      </c>
      <c r="I17" s="22" t="n">
        <f aca="false">ROUNDDOWN(G17/(H17*(1+$E$7)),0)</f>
        <v>2688</v>
      </c>
      <c r="J17" s="20" t="n">
        <f aca="false">I17*H17*(1+$E$7)</f>
        <v>149976.12672</v>
      </c>
      <c r="K17" s="21" t="n">
        <v>5</v>
      </c>
      <c r="L17" s="21" t="n">
        <v>4</v>
      </c>
      <c r="M17" s="20" t="n">
        <f aca="false">I17*K17</f>
        <v>13440</v>
      </c>
      <c r="N17" s="20" t="n">
        <f aca="false">I17*L17</f>
        <v>10752</v>
      </c>
      <c r="O17" s="23" t="n">
        <f aca="false">IFERROR(M17/J17,0)</f>
        <v>0.0896142625758831</v>
      </c>
      <c r="P17" s="24" t="s">
        <v>52</v>
      </c>
    </row>
    <row r="18" customFormat="false" ht="15" hidden="false" customHeight="false" outlineLevel="0" collapsed="false">
      <c r="B18" s="25"/>
      <c r="C18" s="3" t="s">
        <v>53</v>
      </c>
      <c r="D18" s="25"/>
      <c r="E18" s="25"/>
      <c r="F18" s="26" t="n">
        <f aca="false">SUM(F10:F17)</f>
        <v>1</v>
      </c>
      <c r="G18" s="27" t="n">
        <f aca="false">SUM(G10:G17)</f>
        <v>1500000</v>
      </c>
      <c r="H18" s="25"/>
      <c r="I18" s="25"/>
      <c r="J18" s="27" t="n">
        <f aca="false">SUM(J10:J17)</f>
        <v>1499830.624908</v>
      </c>
      <c r="K18" s="25"/>
      <c r="L18" s="25"/>
      <c r="M18" s="27" t="n">
        <f aca="false">SUM(M10:M17)</f>
        <v>85536.79</v>
      </c>
      <c r="N18" s="27" t="n">
        <f aca="false">SUM(N10:N17)</f>
        <v>76477.74</v>
      </c>
      <c r="O18" s="26" t="n">
        <f aca="false">IFERROR(M18/J18,0)</f>
        <v>0.0570309664167891</v>
      </c>
      <c r="P18" s="25"/>
    </row>
    <row r="20" customFormat="false" ht="15" hidden="false" customHeight="true" outlineLevel="0" collapsed="false">
      <c r="C20" s="3" t="s">
        <v>54</v>
      </c>
      <c r="D20" s="3"/>
      <c r="E20" s="3"/>
      <c r="F20" s="3"/>
      <c r="G20" s="28" t="n">
        <f aca="false">E5-J18</f>
        <v>169.375092000002</v>
      </c>
    </row>
    <row r="21" customFormat="false" ht="15" hidden="false" customHeight="true" outlineLevel="0" collapsed="false">
      <c r="C21" s="3" t="s">
        <v>55</v>
      </c>
      <c r="D21" s="3"/>
      <c r="E21" s="3"/>
      <c r="F21" s="3"/>
      <c r="G21" s="29" t="n">
        <f aca="false">M18/E5</f>
        <v>0.0570245266666667</v>
      </c>
    </row>
    <row r="22" customFormat="false" ht="15" hidden="false" customHeight="true" outlineLevel="0" collapsed="false">
      <c r="C22" s="3" t="s">
        <v>56</v>
      </c>
      <c r="D22" s="3"/>
      <c r="E22" s="3"/>
      <c r="F22" s="3"/>
      <c r="G22" s="29" t="n">
        <f aca="false">N18/E5</f>
        <v>0.05098516</v>
      </c>
    </row>
    <row r="23" customFormat="false" ht="15" hidden="false" customHeight="true" outlineLevel="0" collapsed="false">
      <c r="C23" s="3" t="s">
        <v>57</v>
      </c>
      <c r="D23" s="3"/>
      <c r="E23" s="3"/>
      <c r="F23" s="3"/>
      <c r="G23" s="28" t="n">
        <f aca="false">M18*E6</f>
        <v>68429.432</v>
      </c>
    </row>
    <row r="24" customFormat="false" ht="15" hidden="false" customHeight="true" outlineLevel="0" collapsed="false">
      <c r="C24" s="3" t="s">
        <v>58</v>
      </c>
      <c r="D24" s="3"/>
      <c r="E24" s="3"/>
      <c r="F24" s="3"/>
      <c r="G24" s="28" t="n">
        <f aca="false">N18*E6</f>
        <v>61182.192</v>
      </c>
    </row>
    <row r="25" customFormat="false" ht="15" hidden="false" customHeight="true" outlineLevel="0" collapsed="false">
      <c r="C25" s="3" t="s">
        <v>59</v>
      </c>
      <c r="D25" s="3"/>
      <c r="E25" s="3"/>
      <c r="F25" s="3"/>
      <c r="G25" s="28" t="n">
        <f aca="false">M18*(1-E6)</f>
        <v>17107.358</v>
      </c>
    </row>
    <row r="26" customFormat="false" ht="15" hidden="false" customHeight="true" outlineLevel="0" collapsed="false">
      <c r="C26" s="3" t="s">
        <v>60</v>
      </c>
      <c r="D26" s="3"/>
      <c r="E26" s="3"/>
      <c r="F26" s="3"/>
      <c r="G26" s="29" t="n">
        <f aca="false">MAX(F10:F17)</f>
        <v>0.15</v>
      </c>
    </row>
    <row r="27" customFormat="false" ht="15" hidden="false" customHeight="true" outlineLevel="0" collapsed="false">
      <c r="C27" s="3" t="s">
        <v>61</v>
      </c>
      <c r="D27" s="3"/>
      <c r="E27" s="3"/>
      <c r="F27" s="3"/>
      <c r="G27" s="30" t="str">
        <f aca="false">IF(ROUND(F18,4)=1,"سليم","راجع الأوزان")</f>
        <v>سليم</v>
      </c>
    </row>
    <row r="29" customFormat="false" ht="15" hidden="false" customHeight="true" outlineLevel="0" collapsed="false">
      <c r="C29" s="31" t="s">
        <v>62</v>
      </c>
      <c r="D29" s="31"/>
      <c r="E29" s="31"/>
    </row>
    <row r="30" customFormat="false" ht="36" hidden="false" customHeight="true" outlineLevel="0" collapsed="false">
      <c r="C30" s="8" t="s">
        <v>11</v>
      </c>
      <c r="D30" s="8" t="s">
        <v>12</v>
      </c>
      <c r="E30" s="8" t="s">
        <v>63</v>
      </c>
    </row>
    <row r="31" customFormat="false" ht="15" hidden="false" customHeight="false" outlineLevel="0" collapsed="false">
      <c r="C31" s="32" t="s">
        <v>25</v>
      </c>
      <c r="D31" s="15" t="n">
        <f aca="false">SUMIF($E$10:$E$17,C31,$F$10:$F$17)</f>
        <v>0.25</v>
      </c>
      <c r="E31" s="12" t="n">
        <f aca="false">SUMIF($E$10:$E$17,C31,$M$10:$M$17)</f>
        <v>15145.75</v>
      </c>
    </row>
    <row r="32" customFormat="false" ht="15" hidden="false" customHeight="false" outlineLevel="0" collapsed="false">
      <c r="C32" s="32" t="s">
        <v>32</v>
      </c>
      <c r="D32" s="15" t="n">
        <f aca="false">SUMIF($E$10:$E$17,C32,$F$10:$F$17)</f>
        <v>0.15</v>
      </c>
      <c r="E32" s="12" t="n">
        <f aca="false">SUMIF($E$10:$E$17,C32,$M$10:$M$17)</f>
        <v>11704</v>
      </c>
    </row>
    <row r="33" customFormat="false" ht="15" hidden="false" customHeight="false" outlineLevel="0" collapsed="false">
      <c r="C33" s="32" t="s">
        <v>36</v>
      </c>
      <c r="D33" s="15" t="n">
        <f aca="false">SUMIF($E$10:$E$17,C33,$F$10:$F$17)</f>
        <v>0.15</v>
      </c>
      <c r="E33" s="12" t="n">
        <f aca="false">SUMIF($E$10:$E$17,C33,$M$10:$M$17)</f>
        <v>11857.84</v>
      </c>
    </row>
    <row r="34" customFormat="false" ht="15" hidden="false" customHeight="false" outlineLevel="0" collapsed="false">
      <c r="C34" s="32" t="s">
        <v>51</v>
      </c>
      <c r="D34" s="15" t="n">
        <f aca="false">SUMIF($E$10:$E$17,C34,$F$10:$F$17)</f>
        <v>0.1</v>
      </c>
      <c r="E34" s="12" t="n">
        <f aca="false">SUMIF($E$10:$E$17,C34,$M$10:$M$17)</f>
        <v>13440</v>
      </c>
    </row>
    <row r="35" customFormat="false" ht="15" hidden="false" customHeight="false" outlineLevel="0" collapsed="false">
      <c r="C35" s="32" t="s">
        <v>40</v>
      </c>
      <c r="D35" s="15" t="n">
        <f aca="false">SUMIF($E$10:$E$17,C35,$F$10:$F$17)</f>
        <v>0.13</v>
      </c>
      <c r="E35" s="12" t="n">
        <f aca="false">SUMIF($E$10:$E$17,C35,$M$10:$M$17)</f>
        <v>12180</v>
      </c>
    </row>
    <row r="36" customFormat="false" ht="15" hidden="false" customHeight="false" outlineLevel="0" collapsed="false">
      <c r="C36" s="32" t="s">
        <v>44</v>
      </c>
      <c r="D36" s="15" t="n">
        <f aca="false">SUMIF($E$10:$E$17,C36,$F$10:$F$17)</f>
        <v>0.22</v>
      </c>
      <c r="E36" s="12" t="n">
        <f aca="false">SUMIF($E$10:$E$17,C36,$M$10:$M$17)</f>
        <v>21209.2</v>
      </c>
    </row>
  </sheetData>
  <mergeCells count="17">
    <mergeCell ref="B2:O2"/>
    <mergeCell ref="B3:O3"/>
    <mergeCell ref="B5:D5"/>
    <mergeCell ref="F5:O5"/>
    <mergeCell ref="B6:D6"/>
    <mergeCell ref="F6:O6"/>
    <mergeCell ref="B7:D7"/>
    <mergeCell ref="F7:O7"/>
    <mergeCell ref="C20:F20"/>
    <mergeCell ref="C21:F21"/>
    <mergeCell ref="C22:F22"/>
    <mergeCell ref="C23:F23"/>
    <mergeCell ref="C24:F24"/>
    <mergeCell ref="C25:F25"/>
    <mergeCell ref="C26:F26"/>
    <mergeCell ref="C27:F27"/>
    <mergeCell ref="C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5" min="13" style="0" width="10"/>
    <col collapsed="false" customWidth="true" hidden="false" outlineLevel="0" max="16" min="16" style="0" width="19"/>
    <col collapsed="false" customWidth="true" hidden="false" outlineLevel="0" max="17" min="17" style="0" width="55"/>
  </cols>
  <sheetData>
    <row r="2" customFormat="false" ht="33.75" hidden="false" customHeight="true" outlineLevel="0" collapsed="false">
      <c r="B2" s="1" t="s">
        <v>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true" outlineLevel="0" collapsed="false">
      <c r="B3" s="2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36" hidden="false" customHeight="true" outlineLevel="0" collapsed="false">
      <c r="B5" s="8" t="s">
        <v>66</v>
      </c>
      <c r="C5" s="8" t="s">
        <v>10</v>
      </c>
      <c r="D5" s="8" t="s">
        <v>11</v>
      </c>
      <c r="E5" s="8" t="s">
        <v>14</v>
      </c>
      <c r="F5" s="8" t="s">
        <v>67</v>
      </c>
      <c r="G5" s="8" t="s">
        <v>68</v>
      </c>
      <c r="H5" s="8" t="s">
        <v>69</v>
      </c>
      <c r="I5" s="8" t="s">
        <v>70</v>
      </c>
      <c r="J5" s="8" t="s">
        <v>71</v>
      </c>
      <c r="K5" s="8" t="s">
        <v>72</v>
      </c>
      <c r="L5" s="8" t="s">
        <v>73</v>
      </c>
      <c r="M5" s="8" t="s">
        <v>74</v>
      </c>
      <c r="N5" s="8" t="s">
        <v>75</v>
      </c>
      <c r="O5" s="8" t="s">
        <v>76</v>
      </c>
      <c r="P5" s="8" t="s">
        <v>77</v>
      </c>
      <c r="Q5" s="8" t="s">
        <v>78</v>
      </c>
    </row>
    <row r="6" customFormat="false" ht="26.85" hidden="false" customHeight="false" outlineLevel="0" collapsed="false">
      <c r="B6" s="10" t="s">
        <v>23</v>
      </c>
      <c r="C6" s="9" t="s">
        <v>24</v>
      </c>
      <c r="D6" s="9" t="s">
        <v>25</v>
      </c>
      <c r="E6" s="13" t="n">
        <v>61.95</v>
      </c>
      <c r="F6" s="13" t="n">
        <v>2.43</v>
      </c>
      <c r="G6" s="15" t="n">
        <f aca="false">IFERROR(F6/E6,0)</f>
        <v>0.039225181598063</v>
      </c>
      <c r="H6" s="9" t="s">
        <v>79</v>
      </c>
      <c r="I6" s="9" t="s">
        <v>80</v>
      </c>
      <c r="J6" s="9" t="s">
        <v>81</v>
      </c>
      <c r="K6" s="9" t="s">
        <v>82</v>
      </c>
      <c r="L6" s="9" t="s">
        <v>83</v>
      </c>
      <c r="M6" s="9" t="s">
        <v>83</v>
      </c>
      <c r="N6" s="9" t="s">
        <v>84</v>
      </c>
      <c r="O6" s="9" t="n">
        <v>5</v>
      </c>
      <c r="P6" s="33" t="s">
        <v>85</v>
      </c>
      <c r="Q6" s="32" t="s">
        <v>86</v>
      </c>
    </row>
    <row r="7" customFormat="false" ht="26.85" hidden="false" customHeight="false" outlineLevel="0" collapsed="false">
      <c r="B7" s="18" t="s">
        <v>30</v>
      </c>
      <c r="C7" s="17" t="s">
        <v>31</v>
      </c>
      <c r="D7" s="17" t="s">
        <v>32</v>
      </c>
      <c r="E7" s="21" t="n">
        <v>42.22</v>
      </c>
      <c r="F7" s="21" t="n">
        <v>2.2</v>
      </c>
      <c r="G7" s="23" t="n">
        <f aca="false">IFERROR(F7/E7,0)</f>
        <v>0.0521080056845097</v>
      </c>
      <c r="H7" s="17" t="s">
        <v>87</v>
      </c>
      <c r="I7" s="17" t="s">
        <v>88</v>
      </c>
      <c r="J7" s="17" t="s">
        <v>89</v>
      </c>
      <c r="K7" s="17" t="s">
        <v>90</v>
      </c>
      <c r="L7" s="17" t="s">
        <v>83</v>
      </c>
      <c r="M7" s="17" t="s">
        <v>83</v>
      </c>
      <c r="N7" s="17" t="s">
        <v>83</v>
      </c>
      <c r="O7" s="17" t="n">
        <v>5</v>
      </c>
      <c r="P7" s="34" t="s">
        <v>85</v>
      </c>
      <c r="Q7" s="35" t="s">
        <v>91</v>
      </c>
    </row>
    <row r="8" customFormat="false" ht="26.85" hidden="false" customHeight="false" outlineLevel="0" collapsed="false">
      <c r="B8" s="10" t="s">
        <v>27</v>
      </c>
      <c r="C8" s="9" t="s">
        <v>28</v>
      </c>
      <c r="D8" s="9" t="s">
        <v>25</v>
      </c>
      <c r="E8" s="13" t="n">
        <v>23.63</v>
      </c>
      <c r="F8" s="13" t="n">
        <v>0.75</v>
      </c>
      <c r="G8" s="15" t="n">
        <f aca="false">IFERROR(F8/E8,0)</f>
        <v>0.0317393144308083</v>
      </c>
      <c r="H8" s="9" t="s">
        <v>92</v>
      </c>
      <c r="I8" s="9" t="s">
        <v>93</v>
      </c>
      <c r="J8" s="9" t="s">
        <v>94</v>
      </c>
      <c r="K8" s="9" t="s">
        <v>95</v>
      </c>
      <c r="L8" s="9" t="s">
        <v>83</v>
      </c>
      <c r="M8" s="9" t="s">
        <v>83</v>
      </c>
      <c r="N8" s="9" t="s">
        <v>84</v>
      </c>
      <c r="O8" s="9" t="n">
        <v>4</v>
      </c>
      <c r="P8" s="33" t="s">
        <v>85</v>
      </c>
      <c r="Q8" s="32" t="s">
        <v>96</v>
      </c>
    </row>
    <row r="9" customFormat="false" ht="15" hidden="false" customHeight="false" outlineLevel="0" collapsed="false">
      <c r="B9" s="18" t="s">
        <v>97</v>
      </c>
      <c r="C9" s="17" t="s">
        <v>98</v>
      </c>
      <c r="D9" s="17" t="s">
        <v>25</v>
      </c>
      <c r="E9" s="21" t="n">
        <v>22.43</v>
      </c>
      <c r="F9" s="21" t="n">
        <v>1.05</v>
      </c>
      <c r="G9" s="23" t="n">
        <f aca="false">IFERROR(F9/E9,0)</f>
        <v>0.0468123049487294</v>
      </c>
      <c r="H9" s="17" t="s">
        <v>99</v>
      </c>
      <c r="I9" s="17" t="s">
        <v>100</v>
      </c>
      <c r="J9" s="17" t="s">
        <v>101</v>
      </c>
      <c r="K9" s="17" t="s">
        <v>102</v>
      </c>
      <c r="L9" s="17" t="s">
        <v>83</v>
      </c>
      <c r="M9" s="17" t="s">
        <v>83</v>
      </c>
      <c r="N9" s="17" t="s">
        <v>84</v>
      </c>
      <c r="O9" s="17" t="n">
        <v>3</v>
      </c>
      <c r="P9" s="36" t="s">
        <v>103</v>
      </c>
      <c r="Q9" s="35" t="s">
        <v>104</v>
      </c>
    </row>
    <row r="10" customFormat="false" ht="15" hidden="false" customHeight="false" outlineLevel="0" collapsed="false">
      <c r="B10" s="10" t="s">
        <v>105</v>
      </c>
      <c r="C10" s="9" t="s">
        <v>106</v>
      </c>
      <c r="D10" s="9" t="s">
        <v>25</v>
      </c>
      <c r="E10" s="13" t="n">
        <v>11.35</v>
      </c>
      <c r="F10" s="13" t="n">
        <v>0.5</v>
      </c>
      <c r="G10" s="15" t="n">
        <f aca="false">IFERROR(F10/E10,0)</f>
        <v>0.0440528634361234</v>
      </c>
      <c r="H10" s="9" t="s">
        <v>107</v>
      </c>
      <c r="I10" s="9" t="s">
        <v>108</v>
      </c>
      <c r="J10" s="9" t="s">
        <v>81</v>
      </c>
      <c r="K10" s="9" t="s">
        <v>109</v>
      </c>
      <c r="L10" s="9" t="s">
        <v>83</v>
      </c>
      <c r="M10" s="9" t="s">
        <v>83</v>
      </c>
      <c r="N10" s="9" t="s">
        <v>84</v>
      </c>
      <c r="O10" s="9" t="n">
        <v>2</v>
      </c>
      <c r="P10" s="37" t="s">
        <v>103</v>
      </c>
      <c r="Q10" s="32" t="s">
        <v>110</v>
      </c>
    </row>
    <row r="11" customFormat="false" ht="15" hidden="false" customHeight="false" outlineLevel="0" collapsed="false">
      <c r="B11" s="18" t="s">
        <v>111</v>
      </c>
      <c r="C11" s="17" t="s">
        <v>112</v>
      </c>
      <c r="D11" s="17" t="s">
        <v>113</v>
      </c>
      <c r="E11" s="21" t="n">
        <v>568.5</v>
      </c>
      <c r="F11" s="21" t="n">
        <v>9.5</v>
      </c>
      <c r="G11" s="23" t="n">
        <f aca="false">IFERROR(F11/E11,0)</f>
        <v>0.0167106420404573</v>
      </c>
      <c r="H11" s="17" t="s">
        <v>114</v>
      </c>
      <c r="I11" s="17" t="s">
        <v>115</v>
      </c>
      <c r="J11" s="17" t="s">
        <v>116</v>
      </c>
      <c r="K11" s="17" t="s">
        <v>117</v>
      </c>
      <c r="L11" s="17" t="s">
        <v>83</v>
      </c>
      <c r="M11" s="17" t="s">
        <v>83</v>
      </c>
      <c r="N11" s="17" t="s">
        <v>83</v>
      </c>
      <c r="O11" s="17" t="n">
        <v>3</v>
      </c>
      <c r="P11" s="36" t="s">
        <v>103</v>
      </c>
      <c r="Q11" s="35" t="s">
        <v>118</v>
      </c>
    </row>
    <row r="12" customFormat="false" ht="15" hidden="false" customHeight="false" outlineLevel="0" collapsed="false">
      <c r="B12" s="10" t="s">
        <v>34</v>
      </c>
      <c r="C12" s="9" t="s">
        <v>35</v>
      </c>
      <c r="D12" s="9" t="s">
        <v>36</v>
      </c>
      <c r="E12" s="13" t="n">
        <v>25.76</v>
      </c>
      <c r="F12" s="13" t="n">
        <v>1.35</v>
      </c>
      <c r="G12" s="15" t="n">
        <f aca="false">IFERROR(F12/E12,0)</f>
        <v>0.0524068322981367</v>
      </c>
      <c r="H12" s="9" t="s">
        <v>119</v>
      </c>
      <c r="I12" s="9" t="s">
        <v>120</v>
      </c>
      <c r="J12" s="9" t="s">
        <v>121</v>
      </c>
      <c r="K12" s="9" t="s">
        <v>122</v>
      </c>
      <c r="L12" s="9" t="s">
        <v>83</v>
      </c>
      <c r="M12" s="9" t="s">
        <v>123</v>
      </c>
      <c r="N12" s="9" t="s">
        <v>124</v>
      </c>
      <c r="O12" s="9" t="n">
        <v>4</v>
      </c>
      <c r="P12" s="33" t="s">
        <v>85</v>
      </c>
      <c r="Q12" s="32" t="s">
        <v>125</v>
      </c>
    </row>
    <row r="13" customFormat="false" ht="15" hidden="false" customHeight="false" outlineLevel="0" collapsed="false">
      <c r="B13" s="18" t="s">
        <v>126</v>
      </c>
      <c r="C13" s="17" t="s">
        <v>127</v>
      </c>
      <c r="D13" s="17" t="s">
        <v>128</v>
      </c>
      <c r="E13" s="21" t="n">
        <v>45.7</v>
      </c>
      <c r="F13" s="21" t="n">
        <v>2.6</v>
      </c>
      <c r="G13" s="23" t="n">
        <f aca="false">IFERROR(F13/E13,0)</f>
        <v>0.0568927789934355</v>
      </c>
      <c r="H13" s="17" t="s">
        <v>129</v>
      </c>
      <c r="I13" s="17" t="s">
        <v>130</v>
      </c>
      <c r="J13" s="17" t="s">
        <v>131</v>
      </c>
      <c r="K13" s="17" t="s">
        <v>132</v>
      </c>
      <c r="L13" s="17" t="s">
        <v>83</v>
      </c>
      <c r="M13" s="17" t="s">
        <v>123</v>
      </c>
      <c r="N13" s="17" t="s">
        <v>124</v>
      </c>
      <c r="O13" s="17" t="n">
        <v>1</v>
      </c>
      <c r="P13" s="36" t="s">
        <v>103</v>
      </c>
      <c r="Q13" s="35" t="s">
        <v>133</v>
      </c>
    </row>
    <row r="14" customFormat="false" ht="15" hidden="false" customHeight="false" outlineLevel="0" collapsed="false">
      <c r="B14" s="10" t="s">
        <v>42</v>
      </c>
      <c r="C14" s="9" t="s">
        <v>43</v>
      </c>
      <c r="D14" s="9" t="s">
        <v>44</v>
      </c>
      <c r="E14" s="13" t="n">
        <v>115.3</v>
      </c>
      <c r="F14" s="13" t="n">
        <v>7</v>
      </c>
      <c r="G14" s="15" t="n">
        <f aca="false">IFERROR(F14/E14,0)</f>
        <v>0.0607111882046834</v>
      </c>
      <c r="H14" s="9" t="s">
        <v>134</v>
      </c>
      <c r="I14" s="9" t="s">
        <v>135</v>
      </c>
      <c r="J14" s="9" t="s">
        <v>136</v>
      </c>
      <c r="K14" s="9" t="s">
        <v>137</v>
      </c>
      <c r="L14" s="9" t="s">
        <v>83</v>
      </c>
      <c r="M14" s="9" t="s">
        <v>83</v>
      </c>
      <c r="N14" s="9" t="s">
        <v>83</v>
      </c>
      <c r="O14" s="9" t="n">
        <v>4</v>
      </c>
      <c r="P14" s="33" t="s">
        <v>85</v>
      </c>
      <c r="Q14" s="32" t="s">
        <v>138</v>
      </c>
    </row>
    <row r="15" customFormat="false" ht="15" hidden="false" customHeight="false" outlineLevel="0" collapsed="false">
      <c r="B15" s="18" t="s">
        <v>139</v>
      </c>
      <c r="C15" s="17" t="s">
        <v>140</v>
      </c>
      <c r="D15" s="17" t="s">
        <v>128</v>
      </c>
      <c r="E15" s="21" t="n">
        <v>11.9</v>
      </c>
      <c r="F15" s="21" t="n">
        <v>0.5</v>
      </c>
      <c r="G15" s="23" t="n">
        <f aca="false">IFERROR(F15/E15,0)</f>
        <v>0.0420168067226891</v>
      </c>
      <c r="H15" s="17" t="s">
        <v>99</v>
      </c>
      <c r="I15" s="17" t="s">
        <v>108</v>
      </c>
      <c r="J15" s="17" t="s">
        <v>131</v>
      </c>
      <c r="K15" s="17" t="s">
        <v>141</v>
      </c>
      <c r="L15" s="17" t="s">
        <v>83</v>
      </c>
      <c r="M15" s="17" t="s">
        <v>83</v>
      </c>
      <c r="N15" s="17" t="s">
        <v>83</v>
      </c>
      <c r="O15" s="17" t="n">
        <v>1</v>
      </c>
      <c r="P15" s="36" t="s">
        <v>103</v>
      </c>
      <c r="Q15" s="35" t="s">
        <v>142</v>
      </c>
    </row>
    <row r="16" customFormat="false" ht="15" hidden="false" customHeight="false" outlineLevel="0" collapsed="false">
      <c r="B16" s="10" t="s">
        <v>143</v>
      </c>
      <c r="C16" s="9" t="s">
        <v>144</v>
      </c>
      <c r="D16" s="9" t="s">
        <v>128</v>
      </c>
      <c r="E16" s="13" t="n">
        <v>22.33</v>
      </c>
      <c r="F16" s="13" t="n">
        <v>0</v>
      </c>
      <c r="G16" s="15" t="n">
        <f aca="false">IFERROR(F16/E16,0)</f>
        <v>0</v>
      </c>
      <c r="H16" s="9" t="s">
        <v>108</v>
      </c>
      <c r="I16" s="9" t="s">
        <v>108</v>
      </c>
      <c r="J16" s="9" t="s">
        <v>131</v>
      </c>
      <c r="K16" s="9" t="s">
        <v>141</v>
      </c>
      <c r="L16" s="9" t="s">
        <v>83</v>
      </c>
      <c r="M16" s="9" t="s">
        <v>83</v>
      </c>
      <c r="N16" s="9" t="s">
        <v>83</v>
      </c>
      <c r="O16" s="9" t="n">
        <v>1</v>
      </c>
      <c r="P16" s="37" t="s">
        <v>103</v>
      </c>
      <c r="Q16" s="32" t="s">
        <v>145</v>
      </c>
    </row>
    <row r="17" customFormat="false" ht="15" hidden="false" customHeight="false" outlineLevel="0" collapsed="false">
      <c r="B17" s="18" t="s">
        <v>146</v>
      </c>
      <c r="C17" s="17" t="s">
        <v>147</v>
      </c>
      <c r="D17" s="17" t="s">
        <v>128</v>
      </c>
      <c r="E17" s="21" t="n">
        <v>33.24</v>
      </c>
      <c r="F17" s="21" t="n">
        <v>2</v>
      </c>
      <c r="G17" s="23" t="n">
        <f aca="false">IFERROR(F17/E17,0)</f>
        <v>0.0601684717208183</v>
      </c>
      <c r="H17" s="17" t="s">
        <v>148</v>
      </c>
      <c r="I17" s="17" t="s">
        <v>149</v>
      </c>
      <c r="J17" s="17" t="s">
        <v>150</v>
      </c>
      <c r="K17" s="17" t="s">
        <v>151</v>
      </c>
      <c r="L17" s="17" t="s">
        <v>83</v>
      </c>
      <c r="M17" s="17" t="s">
        <v>83</v>
      </c>
      <c r="N17" s="17" t="s">
        <v>83</v>
      </c>
      <c r="O17" s="17" t="n">
        <v>2</v>
      </c>
      <c r="P17" s="36" t="s">
        <v>103</v>
      </c>
      <c r="Q17" s="35" t="s">
        <v>152</v>
      </c>
    </row>
    <row r="18" customFormat="false" ht="15" hidden="false" customHeight="false" outlineLevel="0" collapsed="false">
      <c r="B18" s="10" t="s">
        <v>46</v>
      </c>
      <c r="C18" s="9" t="s">
        <v>47</v>
      </c>
      <c r="D18" s="9" t="s">
        <v>44</v>
      </c>
      <c r="E18" s="13" t="n">
        <v>26.16</v>
      </c>
      <c r="F18" s="13" t="n">
        <v>1.8</v>
      </c>
      <c r="G18" s="15" t="n">
        <f aca="false">IFERROR(F18/E18,0)</f>
        <v>0.0688073394495413</v>
      </c>
      <c r="H18" s="9" t="s">
        <v>153</v>
      </c>
      <c r="I18" s="9" t="s">
        <v>149</v>
      </c>
      <c r="J18" s="9" t="s">
        <v>154</v>
      </c>
      <c r="K18" s="9" t="s">
        <v>155</v>
      </c>
      <c r="L18" s="9" t="s">
        <v>83</v>
      </c>
      <c r="M18" s="9" t="s">
        <v>83</v>
      </c>
      <c r="N18" s="9" t="s">
        <v>83</v>
      </c>
      <c r="O18" s="9" t="n">
        <v>3</v>
      </c>
      <c r="P18" s="33" t="s">
        <v>85</v>
      </c>
      <c r="Q18" s="32" t="s">
        <v>156</v>
      </c>
    </row>
    <row r="19" customFormat="false" ht="15" hidden="false" customHeight="false" outlineLevel="0" collapsed="false">
      <c r="B19" s="18" t="s">
        <v>157</v>
      </c>
      <c r="C19" s="17" t="s">
        <v>158</v>
      </c>
      <c r="D19" s="17" t="s">
        <v>44</v>
      </c>
      <c r="E19" s="21" t="n">
        <v>43.6</v>
      </c>
      <c r="F19" s="21" t="n">
        <v>3.2</v>
      </c>
      <c r="G19" s="23" t="n">
        <f aca="false">IFERROR(F19/E19,0)</f>
        <v>0.073394495412844</v>
      </c>
      <c r="H19" s="17" t="s">
        <v>159</v>
      </c>
      <c r="I19" s="17" t="s">
        <v>160</v>
      </c>
      <c r="J19" s="17" t="s">
        <v>161</v>
      </c>
      <c r="K19" s="17" t="s">
        <v>162</v>
      </c>
      <c r="L19" s="17" t="s">
        <v>83</v>
      </c>
      <c r="M19" s="17" t="s">
        <v>83</v>
      </c>
      <c r="N19" s="17" t="s">
        <v>83</v>
      </c>
      <c r="O19" s="17" t="n">
        <v>2</v>
      </c>
      <c r="P19" s="36" t="s">
        <v>103</v>
      </c>
      <c r="Q19" s="35" t="s">
        <v>163</v>
      </c>
    </row>
    <row r="20" customFormat="false" ht="15" hidden="false" customHeight="false" outlineLevel="0" collapsed="false">
      <c r="B20" s="10" t="s">
        <v>164</v>
      </c>
      <c r="C20" s="9" t="s">
        <v>165</v>
      </c>
      <c r="D20" s="9" t="s">
        <v>44</v>
      </c>
      <c r="E20" s="13" t="n">
        <v>21</v>
      </c>
      <c r="F20" s="13" t="n">
        <v>1</v>
      </c>
      <c r="G20" s="15" t="n">
        <f aca="false">IFERROR(F20/E20,0)</f>
        <v>0.0476190476190476</v>
      </c>
      <c r="H20" s="9" t="s">
        <v>99</v>
      </c>
      <c r="I20" s="9" t="s">
        <v>141</v>
      </c>
      <c r="J20" s="9" t="s">
        <v>166</v>
      </c>
      <c r="K20" s="9" t="s">
        <v>167</v>
      </c>
      <c r="L20" s="9" t="s">
        <v>83</v>
      </c>
      <c r="M20" s="9" t="s">
        <v>83</v>
      </c>
      <c r="N20" s="9" t="s">
        <v>83</v>
      </c>
      <c r="O20" s="9" t="n">
        <v>3</v>
      </c>
      <c r="P20" s="38" t="s">
        <v>168</v>
      </c>
      <c r="Q20" s="32" t="s">
        <v>169</v>
      </c>
    </row>
    <row r="21" customFormat="false" ht="15" hidden="false" customHeight="false" outlineLevel="0" collapsed="false">
      <c r="B21" s="18" t="s">
        <v>170</v>
      </c>
      <c r="C21" s="17" t="s">
        <v>50</v>
      </c>
      <c r="D21" s="17" t="s">
        <v>51</v>
      </c>
      <c r="E21" s="21" t="n">
        <v>55.7</v>
      </c>
      <c r="F21" s="21" t="n">
        <v>5</v>
      </c>
      <c r="G21" s="23" t="n">
        <f aca="false">IFERROR(F21/E21,0)</f>
        <v>0.0897666068222621</v>
      </c>
      <c r="H21" s="17" t="s">
        <v>171</v>
      </c>
      <c r="I21" s="17" t="s">
        <v>172</v>
      </c>
      <c r="J21" s="17" t="s">
        <v>173</v>
      </c>
      <c r="K21" s="17" t="s">
        <v>174</v>
      </c>
      <c r="L21" s="17" t="s">
        <v>83</v>
      </c>
      <c r="M21" s="17" t="s">
        <v>83</v>
      </c>
      <c r="N21" s="17" t="s">
        <v>124</v>
      </c>
      <c r="O21" s="17" t="n">
        <v>3</v>
      </c>
      <c r="P21" s="34" t="s">
        <v>175</v>
      </c>
      <c r="Q21" s="35" t="s">
        <v>176</v>
      </c>
    </row>
    <row r="22" customFormat="false" ht="15" hidden="false" customHeight="false" outlineLevel="0" collapsed="false">
      <c r="B22" s="10" t="s">
        <v>177</v>
      </c>
      <c r="C22" s="9" t="s">
        <v>178</v>
      </c>
      <c r="D22" s="9" t="s">
        <v>179</v>
      </c>
      <c r="E22" s="13" t="n">
        <v>17.82</v>
      </c>
      <c r="F22" s="13" t="n">
        <v>0.67</v>
      </c>
      <c r="G22" s="15" t="n">
        <f aca="false">IFERROR(F22/E22,0)</f>
        <v>0.0375982042648709</v>
      </c>
      <c r="H22" s="9" t="s">
        <v>180</v>
      </c>
      <c r="I22" s="9" t="s">
        <v>108</v>
      </c>
      <c r="J22" s="9" t="s">
        <v>181</v>
      </c>
      <c r="K22" s="9" t="s">
        <v>141</v>
      </c>
      <c r="L22" s="9" t="s">
        <v>83</v>
      </c>
      <c r="M22" s="9" t="s">
        <v>83</v>
      </c>
      <c r="N22" s="9" t="s">
        <v>83</v>
      </c>
      <c r="O22" s="9" t="n">
        <v>1</v>
      </c>
      <c r="P22" s="37" t="s">
        <v>103</v>
      </c>
      <c r="Q22" s="32" t="s">
        <v>182</v>
      </c>
    </row>
    <row r="23" customFormat="false" ht="15" hidden="false" customHeight="false" outlineLevel="0" collapsed="false">
      <c r="B23" s="18" t="s">
        <v>183</v>
      </c>
      <c r="C23" s="17" t="s">
        <v>184</v>
      </c>
      <c r="D23" s="17" t="s">
        <v>40</v>
      </c>
      <c r="E23" s="21" t="n">
        <v>34.68</v>
      </c>
      <c r="F23" s="21" t="n">
        <v>2.52</v>
      </c>
      <c r="G23" s="23" t="n">
        <f aca="false">IFERROR(F23/E23,0)</f>
        <v>0.0726643598615917</v>
      </c>
      <c r="H23" s="17" t="s">
        <v>185</v>
      </c>
      <c r="I23" s="17" t="s">
        <v>186</v>
      </c>
      <c r="J23" s="17" t="s">
        <v>187</v>
      </c>
      <c r="K23" s="17" t="s">
        <v>188</v>
      </c>
      <c r="L23" s="17" t="s">
        <v>83</v>
      </c>
      <c r="M23" s="17" t="s">
        <v>83</v>
      </c>
      <c r="N23" s="17" t="s">
        <v>83</v>
      </c>
      <c r="O23" s="17" t="n">
        <v>1</v>
      </c>
      <c r="P23" s="36" t="s">
        <v>103</v>
      </c>
      <c r="Q23" s="35" t="s">
        <v>189</v>
      </c>
    </row>
    <row r="24" customFormat="false" ht="15" hidden="false" customHeight="false" outlineLevel="0" collapsed="false">
      <c r="B24" s="10" t="s">
        <v>38</v>
      </c>
      <c r="C24" s="9" t="s">
        <v>39</v>
      </c>
      <c r="D24" s="9" t="s">
        <v>40</v>
      </c>
      <c r="E24" s="13" t="n">
        <v>89.5</v>
      </c>
      <c r="F24" s="13" t="n">
        <v>5.6</v>
      </c>
      <c r="G24" s="15" t="n">
        <f aca="false">IFERROR(F24/E24,0)</f>
        <v>0.0625698324022346</v>
      </c>
      <c r="H24" s="9" t="s">
        <v>190</v>
      </c>
      <c r="I24" s="9" t="s">
        <v>191</v>
      </c>
      <c r="J24" s="9" t="s">
        <v>192</v>
      </c>
      <c r="K24" s="9" t="s">
        <v>90</v>
      </c>
      <c r="L24" s="9" t="s">
        <v>83</v>
      </c>
      <c r="M24" s="9" t="s">
        <v>83</v>
      </c>
      <c r="N24" s="9" t="s">
        <v>83</v>
      </c>
      <c r="O24" s="9" t="n">
        <v>4</v>
      </c>
      <c r="P24" s="33" t="s">
        <v>85</v>
      </c>
      <c r="Q24" s="32" t="s">
        <v>193</v>
      </c>
    </row>
    <row r="25" customFormat="false" ht="15" hidden="false" customHeight="false" outlineLevel="0" collapsed="false">
      <c r="B25" s="18" t="s">
        <v>194</v>
      </c>
      <c r="C25" s="17" t="s">
        <v>195</v>
      </c>
      <c r="D25" s="17" t="s">
        <v>51</v>
      </c>
      <c r="E25" s="21" t="n">
        <v>16.02</v>
      </c>
      <c r="F25" s="21" t="n">
        <v>0.95</v>
      </c>
      <c r="G25" s="23" t="n">
        <f aca="false">IFERROR(F25/E25,0)</f>
        <v>0.0593008739076155</v>
      </c>
      <c r="H25" s="17" t="s">
        <v>196</v>
      </c>
      <c r="I25" s="17" t="s">
        <v>197</v>
      </c>
      <c r="J25" s="17" t="s">
        <v>198</v>
      </c>
      <c r="K25" s="17" t="s">
        <v>199</v>
      </c>
      <c r="L25" s="17" t="s">
        <v>83</v>
      </c>
      <c r="M25" s="17" t="s">
        <v>83</v>
      </c>
      <c r="N25" s="17" t="s">
        <v>83</v>
      </c>
      <c r="O25" s="17" t="n">
        <v>5</v>
      </c>
      <c r="P25" s="36" t="s">
        <v>103</v>
      </c>
      <c r="Q25" s="35" t="s">
        <v>200</v>
      </c>
    </row>
    <row r="26" customFormat="false" ht="15" hidden="false" customHeight="false" outlineLevel="0" collapsed="false">
      <c r="B26" s="10" t="s">
        <v>201</v>
      </c>
      <c r="C26" s="9" t="s">
        <v>202</v>
      </c>
      <c r="D26" s="9" t="s">
        <v>203</v>
      </c>
      <c r="E26" s="13" t="n">
        <v>141.3</v>
      </c>
      <c r="F26" s="13" t="n">
        <v>4</v>
      </c>
      <c r="G26" s="15" t="n">
        <f aca="false">IFERROR(F26/E26,0)</f>
        <v>0.0283085633404105</v>
      </c>
      <c r="H26" s="9" t="s">
        <v>204</v>
      </c>
      <c r="I26" s="9" t="s">
        <v>141</v>
      </c>
      <c r="J26" s="9" t="s">
        <v>101</v>
      </c>
      <c r="K26" s="9" t="s">
        <v>205</v>
      </c>
      <c r="L26" s="9" t="s">
        <v>83</v>
      </c>
      <c r="M26" s="9" t="s">
        <v>83</v>
      </c>
      <c r="N26" s="9" t="s">
        <v>124</v>
      </c>
      <c r="O26" s="9" t="n">
        <v>2</v>
      </c>
      <c r="P26" s="37" t="s">
        <v>103</v>
      </c>
      <c r="Q26" s="32" t="s">
        <v>206</v>
      </c>
    </row>
    <row r="27" customFormat="false" ht="15" hidden="false" customHeight="false" outlineLevel="0" collapsed="false">
      <c r="B27" s="18" t="s">
        <v>207</v>
      </c>
      <c r="C27" s="17" t="s">
        <v>208</v>
      </c>
      <c r="D27" s="17" t="s">
        <v>40</v>
      </c>
      <c r="E27" s="21" t="n">
        <v>62.35</v>
      </c>
      <c r="F27" s="21" t="n">
        <v>2.13</v>
      </c>
      <c r="G27" s="23" t="n">
        <f aca="false">IFERROR(F27/E27,0)</f>
        <v>0.0341619887730553</v>
      </c>
      <c r="H27" s="17" t="s">
        <v>209</v>
      </c>
      <c r="I27" s="17" t="s">
        <v>149</v>
      </c>
      <c r="J27" s="17" t="s">
        <v>210</v>
      </c>
      <c r="K27" s="17" t="s">
        <v>211</v>
      </c>
      <c r="L27" s="17" t="s">
        <v>83</v>
      </c>
      <c r="M27" s="17" t="s">
        <v>83</v>
      </c>
      <c r="N27" s="17" t="s">
        <v>124</v>
      </c>
      <c r="O27" s="17" t="n">
        <v>3</v>
      </c>
      <c r="P27" s="39" t="s">
        <v>212</v>
      </c>
      <c r="Q27" s="35" t="s">
        <v>213</v>
      </c>
    </row>
    <row r="28" customFormat="false" ht="15" hidden="false" customHeight="false" outlineLevel="0" collapsed="false">
      <c r="B28" s="10" t="s">
        <v>214</v>
      </c>
      <c r="C28" s="9" t="s">
        <v>215</v>
      </c>
      <c r="D28" s="9" t="s">
        <v>216</v>
      </c>
      <c r="E28" s="13" t="n">
        <v>43.5</v>
      </c>
      <c r="F28" s="13" t="n">
        <v>1.15</v>
      </c>
      <c r="G28" s="15" t="n">
        <f aca="false">IFERROR(F28/E28,0)</f>
        <v>0.0264367816091954</v>
      </c>
      <c r="H28" s="9" t="s">
        <v>217</v>
      </c>
      <c r="I28" s="9" t="s">
        <v>141</v>
      </c>
      <c r="J28" s="9" t="s">
        <v>154</v>
      </c>
      <c r="K28" s="9" t="s">
        <v>218</v>
      </c>
      <c r="L28" s="9" t="s">
        <v>83</v>
      </c>
      <c r="M28" s="9" t="s">
        <v>83</v>
      </c>
      <c r="N28" s="9" t="s">
        <v>83</v>
      </c>
      <c r="O28" s="9" t="n">
        <v>2</v>
      </c>
      <c r="P28" s="37" t="s">
        <v>103</v>
      </c>
      <c r="Q28" s="32" t="s">
        <v>219</v>
      </c>
    </row>
    <row r="29" customFormat="false" ht="26.85" hidden="false" customHeight="false" outlineLevel="0" collapsed="false">
      <c r="B29" s="18" t="s">
        <v>220</v>
      </c>
      <c r="C29" s="17" t="s">
        <v>221</v>
      </c>
      <c r="D29" s="17" t="s">
        <v>222</v>
      </c>
      <c r="E29" s="21" t="n">
        <v>6.65</v>
      </c>
      <c r="F29" s="21" t="n">
        <v>0.556</v>
      </c>
      <c r="G29" s="23" t="n">
        <f aca="false">IFERROR(F29/E29,0)</f>
        <v>0.083609022556391</v>
      </c>
      <c r="H29" s="17" t="s">
        <v>223</v>
      </c>
      <c r="I29" s="17" t="s">
        <v>224</v>
      </c>
      <c r="J29" s="17" t="s">
        <v>225</v>
      </c>
      <c r="K29" s="17" t="s">
        <v>226</v>
      </c>
      <c r="L29" s="17" t="s">
        <v>83</v>
      </c>
      <c r="M29" s="17" t="s">
        <v>83</v>
      </c>
      <c r="N29" s="17" t="s">
        <v>83</v>
      </c>
      <c r="O29" s="17" t="n">
        <v>2</v>
      </c>
      <c r="P29" s="36" t="s">
        <v>227</v>
      </c>
      <c r="Q29" s="35" t="s">
        <v>228</v>
      </c>
    </row>
    <row r="30" customFormat="false" ht="15" hidden="false" customHeight="false" outlineLevel="0" collapsed="false">
      <c r="B30" s="10" t="s">
        <v>229</v>
      </c>
      <c r="C30" s="9" t="s">
        <v>230</v>
      </c>
      <c r="D30" s="9" t="s">
        <v>222</v>
      </c>
      <c r="E30" s="13" t="n">
        <v>8.31</v>
      </c>
      <c r="F30" s="13" t="n">
        <v>0.8</v>
      </c>
      <c r="G30" s="15" t="n">
        <f aca="false">IFERROR(F30/E30,0)</f>
        <v>0.0962695547533093</v>
      </c>
      <c r="H30" s="9" t="s">
        <v>231</v>
      </c>
      <c r="I30" s="9" t="s">
        <v>232</v>
      </c>
      <c r="J30" s="9" t="s">
        <v>233</v>
      </c>
      <c r="K30" s="9" t="s">
        <v>141</v>
      </c>
      <c r="L30" s="9" t="s">
        <v>83</v>
      </c>
      <c r="M30" s="9" t="s">
        <v>83</v>
      </c>
      <c r="N30" s="9" t="s">
        <v>83</v>
      </c>
      <c r="O30" s="9" t="n">
        <v>4</v>
      </c>
      <c r="P30" s="37" t="s">
        <v>103</v>
      </c>
      <c r="Q30" s="32" t="s">
        <v>234</v>
      </c>
    </row>
    <row r="31" customFormat="false" ht="15" hidden="false" customHeight="false" outlineLevel="0" collapsed="false">
      <c r="B31" s="18" t="s">
        <v>235</v>
      </c>
      <c r="C31" s="17" t="s">
        <v>236</v>
      </c>
      <c r="D31" s="17" t="s">
        <v>222</v>
      </c>
      <c r="E31" s="21" t="n">
        <v>7.79</v>
      </c>
      <c r="F31" s="21" t="n">
        <v>0.54</v>
      </c>
      <c r="G31" s="23" t="n">
        <f aca="false">IFERROR(F31/E31,0)</f>
        <v>0.0693196405648267</v>
      </c>
      <c r="H31" s="17" t="s">
        <v>237</v>
      </c>
      <c r="I31" s="17" t="s">
        <v>238</v>
      </c>
      <c r="J31" s="17" t="s">
        <v>239</v>
      </c>
      <c r="K31" s="17" t="s">
        <v>141</v>
      </c>
      <c r="L31" s="17" t="s">
        <v>83</v>
      </c>
      <c r="M31" s="17" t="s">
        <v>83</v>
      </c>
      <c r="N31" s="17" t="s">
        <v>83</v>
      </c>
      <c r="O31" s="17" t="n">
        <v>4</v>
      </c>
      <c r="P31" s="36" t="s">
        <v>103</v>
      </c>
      <c r="Q31" s="35" t="s">
        <v>240</v>
      </c>
    </row>
    <row r="32" customFormat="false" ht="15" hidden="false" customHeight="false" outlineLevel="0" collapsed="false">
      <c r="B32" s="10" t="s">
        <v>241</v>
      </c>
      <c r="C32" s="9" t="s">
        <v>242</v>
      </c>
      <c r="D32" s="9" t="s">
        <v>222</v>
      </c>
      <c r="E32" s="13" t="n">
        <v>4.31</v>
      </c>
      <c r="F32" s="13" t="n">
        <v>0.32</v>
      </c>
      <c r="G32" s="15" t="n">
        <f aca="false">IFERROR(F32/E32,0)</f>
        <v>0.074245939675174</v>
      </c>
      <c r="H32" s="9" t="s">
        <v>243</v>
      </c>
      <c r="I32" s="9" t="s">
        <v>244</v>
      </c>
      <c r="J32" s="9" t="s">
        <v>245</v>
      </c>
      <c r="K32" s="9" t="s">
        <v>141</v>
      </c>
      <c r="L32" s="9" t="s">
        <v>83</v>
      </c>
      <c r="M32" s="9" t="s">
        <v>83</v>
      </c>
      <c r="N32" s="9" t="s">
        <v>83</v>
      </c>
      <c r="O32" s="9" t="n">
        <v>2</v>
      </c>
      <c r="P32" s="37" t="s">
        <v>103</v>
      </c>
      <c r="Q32" s="32" t="s">
        <v>246</v>
      </c>
    </row>
    <row r="33" customFormat="false" ht="15" hidden="false" customHeight="false" outlineLevel="0" collapsed="false">
      <c r="B33" s="18" t="s">
        <v>247</v>
      </c>
      <c r="C33" s="17" t="s">
        <v>248</v>
      </c>
      <c r="D33" s="17" t="s">
        <v>222</v>
      </c>
      <c r="E33" s="21" t="n">
        <v>4.47</v>
      </c>
      <c r="F33" s="21" t="n">
        <v>0.35</v>
      </c>
      <c r="G33" s="23" t="n">
        <f aca="false">IFERROR(F33/E33,0)</f>
        <v>0.0782997762863535</v>
      </c>
      <c r="H33" s="17" t="s">
        <v>249</v>
      </c>
      <c r="I33" s="17" t="s">
        <v>250</v>
      </c>
      <c r="J33" s="17" t="s">
        <v>141</v>
      </c>
      <c r="K33" s="17" t="s">
        <v>141</v>
      </c>
      <c r="L33" s="17" t="s">
        <v>83</v>
      </c>
      <c r="M33" s="17" t="s">
        <v>83</v>
      </c>
      <c r="N33" s="17" t="s">
        <v>83</v>
      </c>
      <c r="O33" s="17" t="n">
        <v>2</v>
      </c>
      <c r="P33" s="36" t="s">
        <v>103</v>
      </c>
      <c r="Q33" s="35" t="s">
        <v>251</v>
      </c>
    </row>
  </sheetData>
  <mergeCells count="2">
    <mergeCell ref="B2:Q2"/>
    <mergeCell ref="B3:Q3"/>
  </mergeCells>
  <dataValidations count="1">
    <dataValidation allowBlank="true" errorStyle="stop" operator="between" showDropDown="false" showErrorMessage="false" showInputMessage="false" sqref="P6:P33" type="list">
      <formula1>"ضمن المحفظة,ضمن المحفظة (مشروط),بديل احتياطي,قائمة مراقبة,مستبعد,مستبعد حالياً"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7" min="5" style="0" width="13"/>
    <col collapsed="false" customWidth="true" hidden="false" outlineLevel="0" max="8" min="8" style="0" width="20"/>
    <col collapsed="false" customWidth="true" hidden="false" outlineLevel="0" max="9" min="9" style="0" width="50"/>
  </cols>
  <sheetData>
    <row r="2" customFormat="false" ht="33.75" hidden="false" customHeight="true" outlineLevel="0" collapsed="false">
      <c r="B2" s="1" t="s">
        <v>252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253</v>
      </c>
      <c r="C3" s="2"/>
      <c r="D3" s="2"/>
      <c r="E3" s="2"/>
      <c r="F3" s="2"/>
      <c r="G3" s="2"/>
      <c r="H3" s="2"/>
      <c r="I3" s="2"/>
    </row>
    <row r="5" customFormat="false" ht="36" hidden="false" customHeight="true" outlineLevel="0" collapsed="false">
      <c r="B5" s="8" t="s">
        <v>8</v>
      </c>
      <c r="C5" s="8" t="s">
        <v>254</v>
      </c>
      <c r="D5" s="8" t="s">
        <v>255</v>
      </c>
      <c r="E5" s="8" t="s">
        <v>256</v>
      </c>
      <c r="F5" s="8" t="s">
        <v>257</v>
      </c>
      <c r="G5" s="8" t="s">
        <v>258</v>
      </c>
      <c r="H5" s="8" t="s">
        <v>259</v>
      </c>
      <c r="I5" s="8" t="s">
        <v>260</v>
      </c>
    </row>
    <row r="6" customFormat="false" ht="39.75" hidden="false" customHeight="true" outlineLevel="0" collapsed="false">
      <c r="B6" s="9" t="n">
        <v>1</v>
      </c>
      <c r="C6" s="10" t="s">
        <v>261</v>
      </c>
      <c r="D6" s="9" t="s">
        <v>262</v>
      </c>
      <c r="E6" s="40" t="n">
        <v>46308</v>
      </c>
      <c r="F6" s="40" t="n">
        <v>46315</v>
      </c>
      <c r="G6" s="41" t="s">
        <v>263</v>
      </c>
      <c r="H6" s="9" t="s">
        <v>264</v>
      </c>
      <c r="I6" s="16" t="s">
        <v>265</v>
      </c>
    </row>
    <row r="7" customFormat="false" ht="39.75" hidden="false" customHeight="true" outlineLevel="0" collapsed="false">
      <c r="B7" s="17" t="n">
        <v>2</v>
      </c>
      <c r="C7" s="18" t="s">
        <v>266</v>
      </c>
      <c r="D7" s="17" t="s">
        <v>267</v>
      </c>
      <c r="E7" s="42" t="n">
        <v>46308</v>
      </c>
      <c r="F7" s="42" t="n">
        <v>46317</v>
      </c>
      <c r="G7" s="41" t="s">
        <v>263</v>
      </c>
      <c r="H7" s="17" t="s">
        <v>268</v>
      </c>
      <c r="I7" s="24" t="s">
        <v>269</v>
      </c>
    </row>
    <row r="8" customFormat="false" ht="39.75" hidden="false" customHeight="true" outlineLevel="0" collapsed="false">
      <c r="B8" s="9" t="n">
        <v>3</v>
      </c>
      <c r="C8" s="10" t="s">
        <v>270</v>
      </c>
      <c r="D8" s="9" t="s">
        <v>271</v>
      </c>
      <c r="E8" s="40" t="n">
        <v>46309</v>
      </c>
      <c r="F8" s="40" t="n">
        <v>46320</v>
      </c>
      <c r="G8" s="41" t="s">
        <v>263</v>
      </c>
      <c r="H8" s="9" t="s">
        <v>272</v>
      </c>
      <c r="I8" s="16" t="s">
        <v>273</v>
      </c>
    </row>
    <row r="9" customFormat="false" ht="39.75" hidden="false" customHeight="true" outlineLevel="0" collapsed="false">
      <c r="B9" s="17" t="n">
        <v>4</v>
      </c>
      <c r="C9" s="18" t="s">
        <v>274</v>
      </c>
      <c r="D9" s="17" t="s">
        <v>262</v>
      </c>
      <c r="E9" s="42" t="n">
        <v>46315</v>
      </c>
      <c r="F9" s="42" t="n">
        <v>46341</v>
      </c>
      <c r="G9" s="41" t="s">
        <v>263</v>
      </c>
      <c r="H9" s="17" t="s">
        <v>275</v>
      </c>
      <c r="I9" s="24" t="s">
        <v>276</v>
      </c>
    </row>
    <row r="10" customFormat="false" ht="39.75" hidden="false" customHeight="true" outlineLevel="0" collapsed="false">
      <c r="B10" s="9" t="n">
        <v>5</v>
      </c>
      <c r="C10" s="10" t="s">
        <v>277</v>
      </c>
      <c r="D10" s="9" t="s">
        <v>278</v>
      </c>
      <c r="E10" s="40" t="n">
        <v>46321</v>
      </c>
      <c r="F10" s="40" t="n">
        <v>46328</v>
      </c>
      <c r="G10" s="41" t="s">
        <v>263</v>
      </c>
      <c r="H10" s="9" t="s">
        <v>279</v>
      </c>
      <c r="I10" s="16" t="s">
        <v>280</v>
      </c>
    </row>
    <row r="11" customFormat="false" ht="39.75" hidden="false" customHeight="true" outlineLevel="0" collapsed="false">
      <c r="B11" s="17" t="n">
        <v>6</v>
      </c>
      <c r="C11" s="18" t="s">
        <v>281</v>
      </c>
      <c r="D11" s="17" t="s">
        <v>282</v>
      </c>
      <c r="E11" s="42" t="n">
        <v>46322</v>
      </c>
      <c r="F11" s="42" t="n">
        <v>46338</v>
      </c>
      <c r="G11" s="41" t="s">
        <v>263</v>
      </c>
      <c r="H11" s="17" t="s">
        <v>283</v>
      </c>
      <c r="I11" s="24" t="s">
        <v>284</v>
      </c>
    </row>
    <row r="12" customFormat="false" ht="39.75" hidden="false" customHeight="true" outlineLevel="0" collapsed="false">
      <c r="B12" s="9" t="n">
        <v>7</v>
      </c>
      <c r="C12" s="10" t="s">
        <v>285</v>
      </c>
      <c r="D12" s="9" t="s">
        <v>278</v>
      </c>
      <c r="E12" s="40" t="n">
        <v>46341</v>
      </c>
      <c r="F12" s="40" t="n">
        <v>46371</v>
      </c>
      <c r="G12" s="41" t="s">
        <v>263</v>
      </c>
      <c r="H12" s="9" t="s">
        <v>279</v>
      </c>
      <c r="I12" s="16" t="s">
        <v>286</v>
      </c>
    </row>
    <row r="13" customFormat="false" ht="39.75" hidden="false" customHeight="true" outlineLevel="0" collapsed="false">
      <c r="B13" s="17" t="n">
        <v>8</v>
      </c>
      <c r="C13" s="18" t="s">
        <v>287</v>
      </c>
      <c r="D13" s="17" t="s">
        <v>271</v>
      </c>
      <c r="E13" s="42" t="n">
        <v>46402</v>
      </c>
      <c r="F13" s="42" t="n">
        <v>46418</v>
      </c>
      <c r="G13" s="41" t="s">
        <v>263</v>
      </c>
      <c r="H13" s="17" t="s">
        <v>288</v>
      </c>
      <c r="I13" s="24" t="s">
        <v>289</v>
      </c>
    </row>
    <row r="14" customFormat="false" ht="39.75" hidden="false" customHeight="true" outlineLevel="0" collapsed="false">
      <c r="B14" s="9" t="n">
        <v>9</v>
      </c>
      <c r="C14" s="10" t="s">
        <v>290</v>
      </c>
      <c r="D14" s="9" t="s">
        <v>291</v>
      </c>
      <c r="E14" s="40" t="n">
        <v>46447</v>
      </c>
      <c r="F14" s="40" t="n">
        <v>46477</v>
      </c>
      <c r="G14" s="41" t="s">
        <v>263</v>
      </c>
      <c r="H14" s="9" t="s">
        <v>292</v>
      </c>
      <c r="I14" s="16" t="s">
        <v>293</v>
      </c>
    </row>
    <row r="15" customFormat="false" ht="39.75" hidden="false" customHeight="true" outlineLevel="0" collapsed="false">
      <c r="B15" s="17" t="n">
        <v>10</v>
      </c>
      <c r="C15" s="18" t="s">
        <v>294</v>
      </c>
      <c r="D15" s="17" t="s">
        <v>295</v>
      </c>
      <c r="E15" s="42" t="n">
        <v>46478</v>
      </c>
      <c r="F15" s="42" t="n">
        <v>46507</v>
      </c>
      <c r="G15" s="41" t="s">
        <v>263</v>
      </c>
      <c r="H15" s="17" t="s">
        <v>296</v>
      </c>
      <c r="I15" s="24" t="s">
        <v>297</v>
      </c>
    </row>
    <row r="17" customFormat="false" ht="15" hidden="false" customHeight="false" outlineLevel="0" collapsed="false">
      <c r="C17" s="3" t="s">
        <v>298</v>
      </c>
      <c r="D17" s="43" t="n">
        <f aca="false">COUNTIF(G6:G15,"مكتمل")/COUNTA(G6:G15)</f>
        <v>0</v>
      </c>
    </row>
  </sheetData>
  <mergeCells count="2">
    <mergeCell ref="B2:I2"/>
    <mergeCell ref="B3:I3"/>
  </mergeCells>
  <dataValidations count="1">
    <dataValidation allowBlank="false" errorStyle="stop" operator="between" showDropDown="false" showErrorMessage="false" showInputMessage="false" sqref="G6:G15" type="list">
      <formula1>"لم يبدأ,قيد التنفيذ,مكتمل,متأخر"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6" min="4" style="0" width="10"/>
    <col collapsed="false" customWidth="true" hidden="false" outlineLevel="0" max="7" min="7" style="0" width="55"/>
    <col collapsed="false" customWidth="true" hidden="false" outlineLevel="0" max="8" min="8" style="0" width="30"/>
  </cols>
  <sheetData>
    <row r="2" customFormat="false" ht="33.75" hidden="false" customHeight="true" outlineLevel="0" collapsed="false">
      <c r="B2" s="1" t="s">
        <v>299</v>
      </c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B3" s="2" t="s">
        <v>300</v>
      </c>
      <c r="C3" s="2"/>
      <c r="D3" s="2"/>
      <c r="E3" s="2"/>
      <c r="F3" s="2"/>
      <c r="G3" s="2"/>
      <c r="H3" s="2"/>
    </row>
    <row r="5" customFormat="false" ht="36" hidden="false" customHeight="true" outlineLevel="0" collapsed="false">
      <c r="B5" s="8" t="s">
        <v>8</v>
      </c>
      <c r="C5" s="8" t="s">
        <v>301</v>
      </c>
      <c r="D5" s="8" t="s">
        <v>302</v>
      </c>
      <c r="E5" s="8" t="s">
        <v>303</v>
      </c>
      <c r="F5" s="8" t="s">
        <v>304</v>
      </c>
      <c r="G5" s="8" t="s">
        <v>305</v>
      </c>
      <c r="H5" s="8" t="s">
        <v>306</v>
      </c>
    </row>
    <row r="6" customFormat="false" ht="36" hidden="false" customHeight="true" outlineLevel="0" collapsed="false">
      <c r="B6" s="9" t="n">
        <v>1</v>
      </c>
      <c r="C6" s="10" t="s">
        <v>307</v>
      </c>
      <c r="D6" s="44" t="n">
        <v>3</v>
      </c>
      <c r="E6" s="44" t="n">
        <v>3</v>
      </c>
      <c r="F6" s="45" t="n">
        <f aca="false">D6*E6</f>
        <v>9</v>
      </c>
      <c r="G6" s="32" t="s">
        <v>308</v>
      </c>
      <c r="H6" s="32" t="s">
        <v>309</v>
      </c>
    </row>
    <row r="7" customFormat="false" ht="36" hidden="false" customHeight="true" outlineLevel="0" collapsed="false">
      <c r="B7" s="17" t="n">
        <v>2</v>
      </c>
      <c r="C7" s="18" t="s">
        <v>310</v>
      </c>
      <c r="D7" s="46" t="n">
        <v>3</v>
      </c>
      <c r="E7" s="46" t="n">
        <v>3</v>
      </c>
      <c r="F7" s="47" t="n">
        <f aca="false">D7*E7</f>
        <v>9</v>
      </c>
      <c r="G7" s="35" t="s">
        <v>311</v>
      </c>
      <c r="H7" s="35" t="s">
        <v>312</v>
      </c>
    </row>
    <row r="8" customFormat="false" ht="36" hidden="false" customHeight="true" outlineLevel="0" collapsed="false">
      <c r="B8" s="9" t="n">
        <v>3</v>
      </c>
      <c r="C8" s="10" t="s">
        <v>313</v>
      </c>
      <c r="D8" s="44" t="n">
        <v>3</v>
      </c>
      <c r="E8" s="44" t="n">
        <v>2</v>
      </c>
      <c r="F8" s="45" t="n">
        <f aca="false">D8*E8</f>
        <v>6</v>
      </c>
      <c r="G8" s="32" t="s">
        <v>314</v>
      </c>
      <c r="H8" s="32" t="s">
        <v>315</v>
      </c>
    </row>
    <row r="9" customFormat="false" ht="36" hidden="false" customHeight="true" outlineLevel="0" collapsed="false">
      <c r="B9" s="17" t="n">
        <v>4</v>
      </c>
      <c r="C9" s="18" t="s">
        <v>316</v>
      </c>
      <c r="D9" s="46" t="n">
        <v>3</v>
      </c>
      <c r="E9" s="46" t="n">
        <v>3</v>
      </c>
      <c r="F9" s="47" t="n">
        <f aca="false">D9*E9</f>
        <v>9</v>
      </c>
      <c r="G9" s="35" t="s">
        <v>317</v>
      </c>
      <c r="H9" s="35" t="s">
        <v>318</v>
      </c>
    </row>
    <row r="10" customFormat="false" ht="36" hidden="false" customHeight="true" outlineLevel="0" collapsed="false">
      <c r="B10" s="9" t="n">
        <v>5</v>
      </c>
      <c r="C10" s="10" t="s">
        <v>319</v>
      </c>
      <c r="D10" s="44" t="n">
        <v>2</v>
      </c>
      <c r="E10" s="44" t="n">
        <v>3</v>
      </c>
      <c r="F10" s="45" t="n">
        <f aca="false">D10*E10</f>
        <v>6</v>
      </c>
      <c r="G10" s="32" t="s">
        <v>320</v>
      </c>
      <c r="H10" s="32" t="s">
        <v>321</v>
      </c>
    </row>
    <row r="11" customFormat="false" ht="36" hidden="false" customHeight="true" outlineLevel="0" collapsed="false">
      <c r="B11" s="17" t="n">
        <v>6</v>
      </c>
      <c r="C11" s="18" t="s">
        <v>322</v>
      </c>
      <c r="D11" s="46" t="n">
        <v>2</v>
      </c>
      <c r="E11" s="46" t="n">
        <v>2</v>
      </c>
      <c r="F11" s="47" t="n">
        <f aca="false">D11*E11</f>
        <v>4</v>
      </c>
      <c r="G11" s="35" t="s">
        <v>323</v>
      </c>
      <c r="H11" s="35" t="s">
        <v>324</v>
      </c>
    </row>
    <row r="12" customFormat="false" ht="36" hidden="false" customHeight="true" outlineLevel="0" collapsed="false">
      <c r="B12" s="9" t="n">
        <v>7</v>
      </c>
      <c r="C12" s="10" t="s">
        <v>325</v>
      </c>
      <c r="D12" s="44" t="n">
        <v>3</v>
      </c>
      <c r="E12" s="44" t="n">
        <v>2</v>
      </c>
      <c r="F12" s="45" t="n">
        <f aca="false">D12*E12</f>
        <v>6</v>
      </c>
      <c r="G12" s="32" t="s">
        <v>326</v>
      </c>
      <c r="H12" s="32" t="s">
        <v>327</v>
      </c>
    </row>
    <row r="13" customFormat="false" ht="36" hidden="false" customHeight="true" outlineLevel="0" collapsed="false">
      <c r="B13" s="17" t="n">
        <v>8</v>
      </c>
      <c r="C13" s="18" t="s">
        <v>328</v>
      </c>
      <c r="D13" s="46" t="n">
        <v>1</v>
      </c>
      <c r="E13" s="46" t="n">
        <v>4</v>
      </c>
      <c r="F13" s="47" t="n">
        <f aca="false">D13*E13</f>
        <v>4</v>
      </c>
      <c r="G13" s="35" t="s">
        <v>329</v>
      </c>
      <c r="H13" s="35" t="s">
        <v>330</v>
      </c>
    </row>
  </sheetData>
  <mergeCells count="2">
    <mergeCell ref="B2:H2"/>
    <mergeCell ref="B3:H3"/>
  </mergeCells>
  <conditionalFormatting sqref="F6:F13">
    <cfRule type="cellIs" priority="2" operator="greaterThanOrEqual" aboveAverage="0" equalAverage="0" bottom="0" percent="0" rank="0" text="" dxfId="0">
      <formula>9</formula>
    </cfRule>
    <cfRule type="cellIs" priority="3" operator="between" aboveAverage="0" equalAverage="0" bottom="0" percent="0" rank="0" text="" dxfId="1">
      <formula>5</formula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50"/>
  </cols>
  <sheetData>
    <row r="2" customFormat="false" ht="33.75" hidden="false" customHeight="true" outlineLevel="0" collapsed="false">
      <c r="B2" s="1" t="s">
        <v>331</v>
      </c>
      <c r="C2" s="1"/>
      <c r="D2" s="1"/>
    </row>
    <row r="3" customFormat="false" ht="15" hidden="false" customHeight="true" outlineLevel="0" collapsed="false">
      <c r="B3" s="2" t="s">
        <v>332</v>
      </c>
      <c r="C3" s="2"/>
      <c r="D3" s="2"/>
    </row>
    <row r="5" customFormat="false" ht="36" hidden="false" customHeight="true" outlineLevel="0" collapsed="false">
      <c r="B5" s="8" t="s">
        <v>333</v>
      </c>
      <c r="C5" s="8" t="s">
        <v>334</v>
      </c>
      <c r="D5" s="8" t="s">
        <v>335</v>
      </c>
    </row>
    <row r="6" customFormat="false" ht="37.5" hidden="false" customHeight="true" outlineLevel="0" collapsed="false">
      <c r="B6" s="3" t="s">
        <v>336</v>
      </c>
      <c r="C6" s="32" t="s">
        <v>337</v>
      </c>
      <c r="D6" s="16" t="s">
        <v>338</v>
      </c>
    </row>
    <row r="7" customFormat="false" ht="37.5" hidden="false" customHeight="true" outlineLevel="0" collapsed="false">
      <c r="B7" s="3" t="s">
        <v>339</v>
      </c>
      <c r="C7" s="35" t="s">
        <v>340</v>
      </c>
      <c r="D7" s="24" t="s">
        <v>341</v>
      </c>
    </row>
    <row r="8" customFormat="false" ht="37.5" hidden="false" customHeight="true" outlineLevel="0" collapsed="false">
      <c r="B8" s="3" t="s">
        <v>342</v>
      </c>
      <c r="C8" s="32" t="s">
        <v>343</v>
      </c>
      <c r="D8" s="16" t="s">
        <v>344</v>
      </c>
    </row>
    <row r="9" customFormat="false" ht="37.5" hidden="false" customHeight="true" outlineLevel="0" collapsed="false">
      <c r="B9" s="3" t="s">
        <v>345</v>
      </c>
      <c r="C9" s="35" t="s">
        <v>346</v>
      </c>
      <c r="D9" s="24" t="s">
        <v>347</v>
      </c>
    </row>
    <row r="10" customFormat="false" ht="37.5" hidden="false" customHeight="true" outlineLevel="0" collapsed="false">
      <c r="B10" s="3" t="s">
        <v>348</v>
      </c>
      <c r="C10" s="32" t="s">
        <v>349</v>
      </c>
      <c r="D10" s="16" t="s">
        <v>350</v>
      </c>
    </row>
    <row r="11" customFormat="false" ht="37.5" hidden="false" customHeight="true" outlineLevel="0" collapsed="false">
      <c r="B11" s="3" t="s">
        <v>351</v>
      </c>
      <c r="C11" s="35" t="s">
        <v>352</v>
      </c>
      <c r="D11" s="24" t="s">
        <v>353</v>
      </c>
    </row>
    <row r="12" customFormat="false" ht="37.5" hidden="false" customHeight="true" outlineLevel="0" collapsed="false">
      <c r="B12" s="3" t="s">
        <v>354</v>
      </c>
      <c r="C12" s="32" t="s">
        <v>355</v>
      </c>
      <c r="D12" s="16" t="s">
        <v>356</v>
      </c>
    </row>
    <row r="13" customFormat="false" ht="37.5" hidden="false" customHeight="true" outlineLevel="0" collapsed="false">
      <c r="B13" s="3" t="s">
        <v>357</v>
      </c>
      <c r="C13" s="35" t="s">
        <v>358</v>
      </c>
      <c r="D13" s="24" t="s">
        <v>359</v>
      </c>
    </row>
    <row r="14" customFormat="false" ht="37.5" hidden="false" customHeight="true" outlineLevel="0" collapsed="false">
      <c r="B14" s="3" t="s">
        <v>360</v>
      </c>
      <c r="C14" s="32" t="s">
        <v>361</v>
      </c>
      <c r="D14" s="16" t="s">
        <v>362</v>
      </c>
    </row>
    <row r="15" customFormat="false" ht="37.5" hidden="false" customHeight="true" outlineLevel="0" collapsed="false">
      <c r="B15" s="3" t="s">
        <v>363</v>
      </c>
      <c r="C15" s="35" t="s">
        <v>364</v>
      </c>
      <c r="D15" s="24" t="s">
        <v>365</v>
      </c>
    </row>
    <row r="16" customFormat="false" ht="37.5" hidden="false" customHeight="true" outlineLevel="0" collapsed="false">
      <c r="B16" s="3" t="s">
        <v>366</v>
      </c>
      <c r="C16" s="32" t="s">
        <v>367</v>
      </c>
      <c r="D16" s="16" t="s">
        <v>368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60"/>
    <col collapsed="false" customWidth="true" hidden="false" outlineLevel="0" max="4" min="4" style="0" width="30"/>
  </cols>
  <sheetData>
    <row r="2" customFormat="false" ht="33.75" hidden="false" customHeight="true" outlineLevel="0" collapsed="false">
      <c r="B2" s="1" t="s">
        <v>369</v>
      </c>
      <c r="C2" s="1"/>
      <c r="D2" s="1"/>
    </row>
    <row r="3" customFormat="false" ht="15" hidden="false" customHeight="true" outlineLevel="0" collapsed="false">
      <c r="B3" s="2" t="s">
        <v>370</v>
      </c>
      <c r="C3" s="2"/>
      <c r="D3" s="2"/>
    </row>
    <row r="5" customFormat="false" ht="36" hidden="false" customHeight="true" outlineLevel="0" collapsed="false">
      <c r="B5" s="8" t="s">
        <v>371</v>
      </c>
      <c r="C5" s="8" t="s">
        <v>372</v>
      </c>
      <c r="D5" s="8" t="s">
        <v>373</v>
      </c>
    </row>
    <row r="6" customFormat="false" ht="15" hidden="false" customHeight="false" outlineLevel="0" collapsed="false">
      <c r="B6" s="3" t="s">
        <v>374</v>
      </c>
      <c r="C6" s="32" t="s">
        <v>375</v>
      </c>
      <c r="D6" s="16" t="s">
        <v>376</v>
      </c>
    </row>
    <row r="7" customFormat="false" ht="15" hidden="false" customHeight="false" outlineLevel="0" collapsed="false">
      <c r="B7" s="3" t="s">
        <v>377</v>
      </c>
      <c r="C7" s="32" t="s">
        <v>378</v>
      </c>
      <c r="D7" s="16" t="s">
        <v>376</v>
      </c>
    </row>
    <row r="8" customFormat="false" ht="15" hidden="false" customHeight="false" outlineLevel="0" collapsed="false">
      <c r="B8" s="3" t="s">
        <v>379</v>
      </c>
      <c r="C8" s="32" t="s">
        <v>380</v>
      </c>
      <c r="D8" s="16" t="s">
        <v>381</v>
      </c>
    </row>
    <row r="9" customFormat="false" ht="15" hidden="false" customHeight="false" outlineLevel="0" collapsed="false">
      <c r="B9" s="3" t="s">
        <v>382</v>
      </c>
      <c r="C9" s="32" t="s">
        <v>383</v>
      </c>
      <c r="D9" s="16" t="s">
        <v>384</v>
      </c>
    </row>
    <row r="10" customFormat="false" ht="15" hidden="false" customHeight="false" outlineLevel="0" collapsed="false">
      <c r="B10" s="3" t="s">
        <v>385</v>
      </c>
      <c r="C10" s="32" t="s">
        <v>386</v>
      </c>
      <c r="D10" s="16" t="s">
        <v>387</v>
      </c>
    </row>
    <row r="11" customFormat="false" ht="15" hidden="false" customHeight="false" outlineLevel="0" collapsed="false">
      <c r="B11" s="3" t="s">
        <v>388</v>
      </c>
      <c r="C11" s="48" t="n">
        <f aca="false">'المحفظة المقترحة'!G21</f>
        <v>0.0570245266666667</v>
      </c>
      <c r="D11" s="16" t="s">
        <v>389</v>
      </c>
    </row>
    <row r="12" customFormat="false" ht="26.85" hidden="false" customHeight="false" outlineLevel="0" collapsed="false">
      <c r="B12" s="3" t="s">
        <v>390</v>
      </c>
      <c r="C12" s="32" t="s">
        <v>391</v>
      </c>
      <c r="D12" s="16" t="s">
        <v>392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10"/>
  </cols>
  <sheetData>
    <row r="2" customFormat="false" ht="33.75" hidden="false" customHeight="true" outlineLevel="0" collapsed="false">
      <c r="B2" s="1" t="s">
        <v>393</v>
      </c>
      <c r="C2" s="1"/>
    </row>
    <row r="3" customFormat="false" ht="15" hidden="false" customHeight="true" outlineLevel="0" collapsed="false">
      <c r="B3" s="2" t="s">
        <v>394</v>
      </c>
      <c r="C3" s="2"/>
    </row>
    <row r="5" customFormat="false" ht="36" hidden="false" customHeight="true" outlineLevel="0" collapsed="false">
      <c r="B5" s="8" t="s">
        <v>395</v>
      </c>
      <c r="C5" s="8" t="s">
        <v>396</v>
      </c>
    </row>
    <row r="6" customFormat="false" ht="15" hidden="false" customHeight="false" outlineLevel="0" collapsed="false">
      <c r="B6" s="10" t="s">
        <v>397</v>
      </c>
      <c r="C6" s="49" t="s">
        <v>398</v>
      </c>
    </row>
    <row r="7" customFormat="false" ht="15" hidden="false" customHeight="false" outlineLevel="0" collapsed="false">
      <c r="B7" s="10" t="s">
        <v>399</v>
      </c>
      <c r="C7" s="49" t="s">
        <v>400</v>
      </c>
    </row>
    <row r="8" customFormat="false" ht="15" hidden="false" customHeight="false" outlineLevel="0" collapsed="false">
      <c r="B8" s="10" t="s">
        <v>401</v>
      </c>
      <c r="C8" s="49" t="s">
        <v>402</v>
      </c>
    </row>
    <row r="9" customFormat="false" ht="15" hidden="false" customHeight="false" outlineLevel="0" collapsed="false">
      <c r="B9" s="10" t="s">
        <v>403</v>
      </c>
      <c r="C9" s="49" t="s">
        <v>404</v>
      </c>
    </row>
    <row r="10" customFormat="false" ht="15" hidden="false" customHeight="false" outlineLevel="0" collapsed="false">
      <c r="B10" s="10" t="s">
        <v>405</v>
      </c>
      <c r="C10" s="49" t="s">
        <v>406</v>
      </c>
    </row>
    <row r="11" customFormat="false" ht="15" hidden="false" customHeight="false" outlineLevel="0" collapsed="false">
      <c r="B11" s="10" t="s">
        <v>407</v>
      </c>
      <c r="C11" s="49" t="s">
        <v>408</v>
      </c>
    </row>
    <row r="12" customFormat="false" ht="15" hidden="false" customHeight="false" outlineLevel="0" collapsed="false">
      <c r="B12" s="10" t="s">
        <v>409</v>
      </c>
      <c r="C12" s="49" t="s">
        <v>410</v>
      </c>
    </row>
    <row r="13" customFormat="false" ht="15" hidden="false" customHeight="false" outlineLevel="0" collapsed="false">
      <c r="B13" s="10" t="s">
        <v>411</v>
      </c>
      <c r="C13" s="49" t="s">
        <v>412</v>
      </c>
    </row>
    <row r="14" customFormat="false" ht="15" hidden="false" customHeight="false" outlineLevel="0" collapsed="false">
      <c r="B14" s="10" t="s">
        <v>413</v>
      </c>
      <c r="C14" s="49" t="s">
        <v>414</v>
      </c>
    </row>
    <row r="15" customFormat="false" ht="15" hidden="false" customHeight="false" outlineLevel="0" collapsed="false">
      <c r="B15" s="10" t="s">
        <v>415</v>
      </c>
      <c r="C15" s="49" t="s">
        <v>416</v>
      </c>
    </row>
    <row r="16" customFormat="false" ht="15" hidden="false" customHeight="false" outlineLevel="0" collapsed="false">
      <c r="B16" s="10" t="s">
        <v>417</v>
      </c>
      <c r="C16" s="49" t="s">
        <v>418</v>
      </c>
    </row>
    <row r="17" customFormat="false" ht="15" hidden="false" customHeight="false" outlineLevel="0" collapsed="false">
      <c r="B17" s="10" t="s">
        <v>419</v>
      </c>
      <c r="C17" s="49" t="s">
        <v>420</v>
      </c>
    </row>
    <row r="18" customFormat="false" ht="15" hidden="false" customHeight="false" outlineLevel="0" collapsed="false">
      <c r="B18" s="10" t="s">
        <v>421</v>
      </c>
      <c r="C18" s="49" t="s">
        <v>422</v>
      </c>
    </row>
    <row r="19" customFormat="false" ht="15" hidden="false" customHeight="false" outlineLevel="0" collapsed="false">
      <c r="B19" s="10" t="s">
        <v>423</v>
      </c>
      <c r="C19" s="49" t="s">
        <v>424</v>
      </c>
    </row>
    <row r="20" customFormat="false" ht="15" hidden="false" customHeight="false" outlineLevel="0" collapsed="false">
      <c r="B20" s="10" t="s">
        <v>425</v>
      </c>
      <c r="C20" s="49" t="s">
        <v>426</v>
      </c>
    </row>
    <row r="21" customFormat="false" ht="15" hidden="false" customHeight="false" outlineLevel="0" collapsed="false">
      <c r="B21" s="10" t="s">
        <v>427</v>
      </c>
      <c r="C21" s="49" t="s">
        <v>428</v>
      </c>
    </row>
    <row r="22" customFormat="false" ht="15" hidden="false" customHeight="false" outlineLevel="0" collapsed="false">
      <c r="B22" s="10" t="s">
        <v>429</v>
      </c>
      <c r="C22" s="49" t="s">
        <v>430</v>
      </c>
    </row>
    <row r="23" customFormat="false" ht="15" hidden="false" customHeight="false" outlineLevel="0" collapsed="false">
      <c r="B23" s="10" t="s">
        <v>431</v>
      </c>
      <c r="C23" s="49" t="s">
        <v>432</v>
      </c>
    </row>
    <row r="24" customFormat="false" ht="15" hidden="false" customHeight="false" outlineLevel="0" collapsed="false">
      <c r="B24" s="10" t="s">
        <v>433</v>
      </c>
      <c r="C24" s="49" t="s">
        <v>434</v>
      </c>
    </row>
    <row r="25" customFormat="false" ht="15" hidden="false" customHeight="false" outlineLevel="0" collapsed="false">
      <c r="B25" s="10" t="s">
        <v>435</v>
      </c>
      <c r="C25" s="49" t="s">
        <v>436</v>
      </c>
    </row>
    <row r="26" customFormat="false" ht="15" hidden="false" customHeight="false" outlineLevel="0" collapsed="false">
      <c r="B26" s="10" t="s">
        <v>437</v>
      </c>
      <c r="C26" s="49" t="s">
        <v>438</v>
      </c>
    </row>
    <row r="27" customFormat="false" ht="15" hidden="false" customHeight="false" outlineLevel="0" collapsed="false">
      <c r="B27" s="10" t="s">
        <v>439</v>
      </c>
      <c r="C27" s="49" t="s">
        <v>440</v>
      </c>
    </row>
    <row r="28" customFormat="false" ht="15" hidden="false" customHeight="false" outlineLevel="0" collapsed="false">
      <c r="B28" s="10" t="s">
        <v>441</v>
      </c>
      <c r="C28" s="49" t="s">
        <v>442</v>
      </c>
    </row>
    <row r="29" customFormat="false" ht="15" hidden="false" customHeight="false" outlineLevel="0" collapsed="false">
      <c r="B29" s="10" t="s">
        <v>443</v>
      </c>
      <c r="C29" s="49" t="s">
        <v>444</v>
      </c>
    </row>
    <row r="30" customFormat="false" ht="15" hidden="false" customHeight="false" outlineLevel="0" collapsed="false">
      <c r="B30" s="10" t="s">
        <v>445</v>
      </c>
      <c r="C30" s="49" t="s">
        <v>446</v>
      </c>
    </row>
  </sheetData>
  <mergeCells count="2">
    <mergeCell ref="B2:C2"/>
    <mergeCell ref="B3:C3"/>
  </mergeCells>
  <hyperlinks>
    <hyperlink ref="C6" r:id="rId1" display="https://www.argaam.com/ar/company/shariahcompanies"/>
    <hyperlink ref="C7" r:id="rId2" display="https://www.argaam.com/en/reports/company-dividend/57654"/>
    <hyperlink ref="C8" r:id="rId3" display="https://www.argaam.com/en/reports/company-dividend/60023"/>
    <hyperlink ref="C9" r:id="rId4" display="https://www.stc.com/content/dam/groupsites/en/pdf/divident-policy-new.pdf"/>
    <hyperlink ref="C10" r:id="rId5" display="https://www.argaam.com/en/reports/company-dividend/60414"/>
    <hyperlink ref="C11" r:id="rId6" display="https://www.aramco.com/en/news-media/news/2026/aramco-announces-second-quarter-and-half-year-2026-results"/>
    <hyperlink ref="C12" r:id="rId7" display="https://www.argaam.com/en/reports/company-dividend/60609"/>
    <hyperlink ref="C13" r:id="rId8" display="https://www.argaam.com/en/reports/company-dividend/60378"/>
    <hyperlink ref="C14" r:id="rId9" display="https://www.argaam.com/en/reports/company-dividend/60170"/>
    <hyperlink ref="C15" r:id="rId10" display="https://www.argaam.com/en/reports/company-dividend/53995"/>
    <hyperlink ref="C16" r:id="rId11" display="https://www.argaam.com/en/reports/company-dividend/60923"/>
    <hyperlink ref="C17" r:id="rId12" display="https://www.argaam.com/en/reports/company-dividend/56561"/>
    <hyperlink ref="C18" r:id="rId13" display="https://www.argaam.com/en/reports/company-dividend/60571"/>
    <hyperlink ref="C19" r:id="rId14" display="https://www.argaam.com/en/reports/company-dividend/56989"/>
    <hyperlink ref="C20" r:id="rId15" display="https://alinmacapital.com/-/media/Project/Alinma/PDF/Jun2026/Theeb-23-06-2026.pdf"/>
    <hyperlink ref="C21" r:id="rId16" display="https://www.argaam.com/en/reports/company-dividend/58775"/>
    <hyperlink ref="C22" r:id="rId17" display="https://www.argaam.com/en/reports/company-dividend/58878"/>
    <hyperlink ref="C23" r:id="rId18" display="https://www.argaam.com/ar/reports/company-dividend/61100"/>
    <hyperlink ref="C24" r:id="rId19" display="https://www.argaam.com/ar/reports/company-dividend/61251"/>
    <hyperlink ref="C25" r:id="rId20" display="https://sedcocapital.com/wp-content/uploads/2026/03/SCREIT-Annual-Report-2025-EN.pdf"/>
    <hyperlink ref="C26" r:id="rId21" display="https://www.sama.gov.sa/en-us/MediaCenter/News/Pages/news-1169.aspx"/>
    <hyperlink ref="C27" r:id="rId22" display="https://www.argaam.com/ar/market-daily-report/3/62421"/>
    <hyperlink ref="C28" r:id="rId23" display="https://www.aleqt.com/تقارير-وتحليلات/مع-منافسة-الصكوك-والودائع-19-شركة-في-تاسي-بعائد-توزيع-فوق-6-10034"/>
    <hyperlink ref="C29" r:id="rId24" display="https://cma.gov.sa/Market/imf/Documents/0511-1-23-026.pdf"/>
    <hyperlink ref="C30" r:id="rId25" display="https://www.uqn.gov.sa/details?p=189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2026-10-13T16:43:08Z</dcterms:created>
  <dc:creator>openpyxl</dc:creator>
  <dc:description/>
  <dc:language>en-US</dc:language>
  <cp:lastModifiedBy/>
  <dcterms:modified xsi:type="dcterms:W3CDTF">2026-10-13T16:43:17Z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